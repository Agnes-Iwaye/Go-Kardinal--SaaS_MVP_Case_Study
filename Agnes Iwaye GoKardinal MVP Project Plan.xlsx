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lobalwitness/Downloads/"/>
    </mc:Choice>
  </mc:AlternateContent>
  <xr:revisionPtr revIDLastSave="0" documentId="13_ncr:1_{BB46AC90-4BA3-C242-922C-4A26995D31D5}" xr6:coauthVersionLast="47" xr6:coauthVersionMax="47" xr10:uidLastSave="{00000000-0000-0000-0000-000000000000}"/>
  <bookViews>
    <workbookView xWindow="0" yWindow="740" windowWidth="29400" windowHeight="16840" activeTab="6" xr2:uid="{00000000-000D-0000-FFFF-FFFF00000000}"/>
  </bookViews>
  <sheets>
    <sheet name="Portfolio Summary" sheetId="1" r:id="rId1"/>
    <sheet name="Project Timeline" sheetId="2" r:id="rId2"/>
    <sheet name="Product Backlog" sheetId="3" r:id="rId3"/>
    <sheet name="RAID Log" sheetId="4" r:id="rId4"/>
    <sheet name="RACI" sheetId="5" r:id="rId5"/>
    <sheet name="Adoption Dashboard" sheetId="6" r:id="rId6"/>
    <sheet name="Adoption 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7" l="1"/>
  <c r="I7" i="7"/>
  <c r="H7" i="7"/>
  <c r="J6" i="7"/>
  <c r="I6" i="7"/>
  <c r="H6" i="7"/>
  <c r="J5" i="7"/>
  <c r="I5" i="7"/>
  <c r="H5" i="7"/>
  <c r="C20" i="6"/>
  <c r="D20" i="6" s="1"/>
  <c r="D19" i="6"/>
  <c r="D18" i="6"/>
  <c r="D17" i="6"/>
  <c r="D13" i="6"/>
  <c r="C13" i="6"/>
  <c r="B13" i="6"/>
  <c r="A13" i="6"/>
  <c r="D12" i="6"/>
  <c r="C12" i="6"/>
  <c r="B12" i="6"/>
  <c r="A12" i="6"/>
  <c r="D11" i="6"/>
  <c r="C11" i="6"/>
  <c r="B11" i="6"/>
  <c r="A11" i="6"/>
  <c r="J6" i="6"/>
  <c r="G6" i="6"/>
  <c r="D6" i="6"/>
  <c r="A6" i="6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P17" i="2"/>
  <c r="O17" i="2"/>
  <c r="N17" i="2"/>
  <c r="M17" i="2"/>
  <c r="L17" i="2"/>
  <c r="K17" i="2"/>
  <c r="J17" i="2"/>
  <c r="I17" i="2"/>
  <c r="H17" i="2"/>
  <c r="G17" i="2"/>
  <c r="P16" i="2"/>
  <c r="O16" i="2"/>
  <c r="N16" i="2"/>
  <c r="M16" i="2"/>
  <c r="L16" i="2"/>
  <c r="K16" i="2"/>
  <c r="J16" i="2"/>
  <c r="I16" i="2"/>
  <c r="H16" i="2"/>
  <c r="G16" i="2"/>
  <c r="P15" i="2"/>
  <c r="O15" i="2"/>
  <c r="N15" i="2"/>
  <c r="M15" i="2"/>
  <c r="L15" i="2"/>
  <c r="K15" i="2"/>
  <c r="J15" i="2"/>
  <c r="I15" i="2"/>
  <c r="H15" i="2"/>
  <c r="G15" i="2"/>
  <c r="P14" i="2"/>
  <c r="O14" i="2"/>
  <c r="N14" i="2"/>
  <c r="M14" i="2"/>
  <c r="L14" i="2"/>
  <c r="K14" i="2"/>
  <c r="J14" i="2"/>
  <c r="I14" i="2"/>
  <c r="H14" i="2"/>
  <c r="G14" i="2"/>
  <c r="P13" i="2"/>
  <c r="O13" i="2"/>
  <c r="N13" i="2"/>
  <c r="M13" i="2"/>
  <c r="L13" i="2"/>
  <c r="K13" i="2"/>
  <c r="J13" i="2"/>
  <c r="I13" i="2"/>
  <c r="H13" i="2"/>
  <c r="G13" i="2"/>
  <c r="P12" i="2"/>
  <c r="O12" i="2"/>
  <c r="N12" i="2"/>
  <c r="M12" i="2"/>
  <c r="L12" i="2"/>
  <c r="K12" i="2"/>
  <c r="J12" i="2"/>
  <c r="I12" i="2"/>
  <c r="H12" i="2"/>
  <c r="G12" i="2"/>
  <c r="P11" i="2"/>
  <c r="O11" i="2"/>
  <c r="N11" i="2"/>
  <c r="M11" i="2"/>
  <c r="L11" i="2"/>
  <c r="K11" i="2"/>
  <c r="J11" i="2"/>
  <c r="I11" i="2"/>
  <c r="H11" i="2"/>
  <c r="G11" i="2"/>
  <c r="P10" i="2"/>
  <c r="O10" i="2"/>
  <c r="N10" i="2"/>
  <c r="M10" i="2"/>
  <c r="L10" i="2"/>
  <c r="K10" i="2"/>
  <c r="J10" i="2"/>
  <c r="I10" i="2"/>
  <c r="H10" i="2"/>
  <c r="G10" i="2"/>
  <c r="P9" i="2"/>
  <c r="O9" i="2"/>
  <c r="N9" i="2"/>
  <c r="M9" i="2"/>
  <c r="L9" i="2"/>
  <c r="K9" i="2"/>
  <c r="J9" i="2"/>
  <c r="I9" i="2"/>
  <c r="H9" i="2"/>
  <c r="G9" i="2"/>
  <c r="P8" i="2"/>
  <c r="O8" i="2"/>
  <c r="N8" i="2"/>
  <c r="M8" i="2"/>
  <c r="L8" i="2"/>
  <c r="K8" i="2"/>
  <c r="J8" i="2"/>
  <c r="I8" i="2"/>
  <c r="H8" i="2"/>
  <c r="G8" i="2"/>
  <c r="P7" i="2"/>
  <c r="O7" i="2"/>
  <c r="N7" i="2"/>
  <c r="M7" i="2"/>
  <c r="L7" i="2"/>
  <c r="K7" i="2"/>
  <c r="J7" i="2"/>
  <c r="I7" i="2"/>
  <c r="H7" i="2"/>
  <c r="G7" i="2"/>
  <c r="P6" i="2"/>
  <c r="O6" i="2"/>
  <c r="N6" i="2"/>
  <c r="M6" i="2"/>
  <c r="L6" i="2"/>
  <c r="K6" i="2"/>
  <c r="J6" i="2"/>
  <c r="I6" i="2"/>
  <c r="H6" i="2"/>
  <c r="G6" i="2"/>
  <c r="P5" i="2"/>
  <c r="O5" i="2"/>
  <c r="N5" i="2"/>
  <c r="M5" i="2"/>
  <c r="L5" i="2"/>
  <c r="K5" i="2"/>
  <c r="J5" i="2"/>
  <c r="I5" i="2"/>
  <c r="H5" i="2"/>
  <c r="G5" i="2"/>
</calcChain>
</file>

<file path=xl/sharedStrings.xml><?xml version="1.0" encoding="utf-8"?>
<sst xmlns="http://schemas.openxmlformats.org/spreadsheetml/2006/main" count="637" uniqueCount="272">
  <si>
    <t>GoCardinal B2B Self-Service Travel Booking MVP</t>
  </si>
  <si>
    <t>Project period: Aug 2022–May 2023 | Role: Project Manager &amp; Product Manager | Illustrative portfolio metrics are clearly labeled</t>
  </si>
  <si>
    <t>Business context</t>
  </si>
  <si>
    <t>GoCardinal served corporate travel clients through a manual request-and-response booking process.</t>
  </si>
  <si>
    <t>PROJECT OBJECTIVES</t>
  </si>
  <si>
    <t>Problem</t>
  </si>
  <si>
    <t>Fares and itineraries could change while requests moved between customers and travel agents, increasing rework and slowing confirmation.</t>
  </si>
  <si>
    <t>1. Validate that the delay and fare-change problem was worth solving</t>
  </si>
  <si>
    <t>Goal</t>
  </si>
  <si>
    <t>Launch an MVP that allowed authorized corporate travelers to search and book itineraries while monitoring credit limits and travel spend.</t>
  </si>
  <si>
    <t>2. Reduce dependence on agent-mediated booking for routine trips</t>
  </si>
  <si>
    <t>Responsibilities</t>
  </si>
  <si>
    <t>User and market research, personas, use cases, requirements, backlog, wireframes, prototype, delivery planning, risk management, UAT and launch.</t>
  </si>
  <si>
    <t>3. Give customers visibility into credit limits and travel spend</t>
  </si>
  <si>
    <t>MVP scope</t>
  </si>
  <si>
    <t>Secure login; flight search; self-service booking; approval workflow; credit-limit visibility; itinerary status; spend dashboard.</t>
  </si>
  <si>
    <t>4. Protect corporate policies through approval and authorization controls</t>
  </si>
  <si>
    <t>Delivery model</t>
  </si>
  <si>
    <t>Hybrid Agile: discovery and stage gates followed by two-week development sprints, UAT, pilot and phased launch.</t>
  </si>
  <si>
    <t>5. Launch a measurable MVP within the Aug 2022–May 2023 window</t>
  </si>
  <si>
    <t>Launch</t>
  </si>
  <si>
    <t>Phased production launch in May 2023 with pilot customers, onboarding, training and hypercare.</t>
  </si>
  <si>
    <t>Illustrative outcome</t>
  </si>
  <si>
    <t>75% activation, 60% 90-day adoption, 68% self-service booking share and 82% shorter booking turnaround.</t>
  </si>
  <si>
    <t>MVP Project Timeline &amp; Delivery Schedule</t>
  </si>
  <si>
    <t>Blue bars show the planned execution window. Dates and status can be edited for portfolio customization.</t>
  </si>
  <si>
    <t>Workstream</t>
  </si>
  <si>
    <t>Activity</t>
  </si>
  <si>
    <t>Start</t>
  </si>
  <si>
    <t>Finish</t>
  </si>
  <si>
    <t>Owner</t>
  </si>
  <si>
    <t>Deliverable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</si>
  <si>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</si>
  <si>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</si>
  <si>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</si>
  <si>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</si>
  <si>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</si>
  <si>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</si>
  <si>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</si>
  <si>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</si>
  <si>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</si>
  <si>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</si>
  <si>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Status</t>
  </si>
  <si>
    <t>Initiation</t>
  </si>
  <si>
    <t>Project charter and stakeholder alignment</t>
  </si>
  <si>
    <t>PM/Product Manager</t>
  </si>
  <si>
    <t>Approved charter</t>
  </si>
  <si>
    <t>Complete</t>
  </si>
  <si>
    <t>Discovery</t>
  </si>
  <si>
    <t>User interviews and workflow analysis</t>
  </si>
  <si>
    <t>Product Manager</t>
  </si>
  <si>
    <t>Research synthesis</t>
  </si>
  <si>
    <t>Market and competitor research</t>
  </si>
  <si>
    <t>Market-gap analysis</t>
  </si>
  <si>
    <t>Definition</t>
  </si>
  <si>
    <t>Personas, journeys and use cases</t>
  </si>
  <si>
    <t>Personas and use cases</t>
  </si>
  <si>
    <t>MVP requirements and prioritized backlog</t>
  </si>
  <si>
    <t>MVP scope baseline</t>
  </si>
  <si>
    <t>Design</t>
  </si>
  <si>
    <t>Wireframes and clickable prototype</t>
  </si>
  <si>
    <t>UX/Product</t>
  </si>
  <si>
    <t>Validated prototype</t>
  </si>
  <si>
    <t>Planning</t>
  </si>
  <si>
    <t>Architecture, integrations and release plan</t>
  </si>
  <si>
    <t>Tech Lead/PM</t>
  </si>
  <si>
    <t>Technical plan</t>
  </si>
  <si>
    <t>Build</t>
  </si>
  <si>
    <t>Sprint 1: access, profile and flight search</t>
  </si>
  <si>
    <t>Engineering</t>
  </si>
  <si>
    <t>Search flow</t>
  </si>
  <si>
    <t>Sprint 2: booking and approval workflow</t>
  </si>
  <si>
    <t>Booking flow</t>
  </si>
  <si>
    <t>Sprint 3: credit and spend visibility</t>
  </si>
  <si>
    <t>Financial controls</t>
  </si>
  <si>
    <t>Test</t>
  </si>
  <si>
    <t>System test, security review and UAT</t>
  </si>
  <si>
    <t>QA/Business</t>
  </si>
  <si>
    <t>UAT sign-off</t>
  </si>
  <si>
    <t>Pilot, training and change management</t>
  </si>
  <si>
    <t>PM/Customer Success</t>
  </si>
  <si>
    <t>Pilot readiness</t>
  </si>
  <si>
    <t>Production rollout and hypercare</t>
  </si>
  <si>
    <t>PM/Engineering</t>
  </si>
  <si>
    <t>MVP live</t>
  </si>
  <si>
    <t>MVP Product Backlog</t>
  </si>
  <si>
    <t>MoSCoW prioritization; first seven items define the MVP release.</t>
  </si>
  <si>
    <t>ID</t>
  </si>
  <si>
    <t>Epic</t>
  </si>
  <si>
    <t>User story / capability</t>
  </si>
  <si>
    <t>Priority</t>
  </si>
  <si>
    <t>Story points</t>
  </si>
  <si>
    <t>Release</t>
  </si>
  <si>
    <t>Acceptance criterion</t>
  </si>
  <si>
    <t>Dependency</t>
  </si>
  <si>
    <t>GC-01</t>
  </si>
  <si>
    <t>Access</t>
  </si>
  <si>
    <t>Corporate user can securely sign in and manage a profile</t>
  </si>
  <si>
    <t>Must</t>
  </si>
  <si>
    <t>MVP</t>
  </si>
  <si>
    <t>Done</t>
  </si>
  <si>
    <t>Authorized users access only assigned company account</t>
  </si>
  <si>
    <t>Identity service</t>
  </si>
  <si>
    <t>GC-02</t>
  </si>
  <si>
    <t>Search</t>
  </si>
  <si>
    <t>Traveler can search live flight availability and fares</t>
  </si>
  <si>
    <t>Results show route, time, fare and availability</t>
  </si>
  <si>
    <t>Flight-content API</t>
  </si>
  <si>
    <t>GC-03</t>
  </si>
  <si>
    <t>Booking</t>
  </si>
  <si>
    <t>Traveler can select and confirm an itinerary</t>
  </si>
  <si>
    <t>Confirmed booking generates reference and itinerary</t>
  </si>
  <si>
    <t>Search + payment</t>
  </si>
  <si>
    <t>GC-04</t>
  </si>
  <si>
    <t>Approvals</t>
  </si>
  <si>
    <t>Booking routes to an approver when policy requires</t>
  </si>
  <si>
    <t>Approval status and audit trail are visible</t>
  </si>
  <si>
    <t>Company policy</t>
  </si>
  <si>
    <t>GC-05</t>
  </si>
  <si>
    <t>Credit</t>
  </si>
  <si>
    <t>Authorized user can view available corporate credit</t>
  </si>
  <si>
    <t>Displayed balance matches approved finance record</t>
  </si>
  <si>
    <t>Engineering/Finance</t>
  </si>
  <si>
    <t>Finance integration</t>
  </si>
  <si>
    <t>GC-06</t>
  </si>
  <si>
    <t>Spend</t>
  </si>
  <si>
    <t>Company admin can view current travel spend</t>
  </si>
  <si>
    <t>Should</t>
  </si>
  <si>
    <t>Dashboard totals reconcile to confirmed bookings</t>
  </si>
  <si>
    <t>Data/Finance</t>
  </si>
  <si>
    <t>Booking data</t>
  </si>
  <si>
    <t>GC-07</t>
  </si>
  <si>
    <t>Itinerary</t>
  </si>
  <si>
    <t>Traveler can view booking and itinerary status</t>
  </si>
  <si>
    <t>Latest confirmed itinerary is accessible</t>
  </si>
  <si>
    <t>Booking engine</t>
  </si>
  <si>
    <t>GC-08</t>
  </si>
  <si>
    <t>Notifications</t>
  </si>
  <si>
    <t>Users receive booking and approval notifications</t>
  </si>
  <si>
    <t>Event triggers email/SMS notification</t>
  </si>
  <si>
    <t>Messaging service</t>
  </si>
  <si>
    <t>GC-09</t>
  </si>
  <si>
    <t>Reporting</t>
  </si>
  <si>
    <t>Admin can export spend by traveler and period</t>
  </si>
  <si>
    <t>Could</t>
  </si>
  <si>
    <t>Phase 2</t>
  </si>
  <si>
    <t>Planned</t>
  </si>
  <si>
    <t>CSV export matches dashboard filters</t>
  </si>
  <si>
    <t>Data</t>
  </si>
  <si>
    <t>Analytics</t>
  </si>
  <si>
    <t>GC-10</t>
  </si>
  <si>
    <t>Policy</t>
  </si>
  <si>
    <t>Admin can configure detailed travel policy rules</t>
  </si>
  <si>
    <t>Rules block or route exceptions</t>
  </si>
  <si>
    <t>Admin module</t>
  </si>
  <si>
    <t>GC-11</t>
  </si>
  <si>
    <t>Changes</t>
  </si>
  <si>
    <t>Traveler can request changes or cancellation online</t>
  </si>
  <si>
    <t>Request creates traceable service case</t>
  </si>
  <si>
    <t>Airline rules</t>
  </si>
  <si>
    <t>GC-12</t>
  </si>
  <si>
    <t>Mobile</t>
  </si>
  <si>
    <t>Responsive mobile-first booking experience</t>
  </si>
  <si>
    <t>Core flows work on standard mobile viewport</t>
  </si>
  <si>
    <t>UX/Engineering</t>
  </si>
  <si>
    <t>Design system</t>
  </si>
  <si>
    <t>RAID Log — Risks, Assumptions, Issues &amp; Dependencies</t>
  </si>
  <si>
    <t>Risk score = Probability × Impact. Scores 15–25 are red; 8–14 amber; 1–7 green.</t>
  </si>
  <si>
    <t>Type</t>
  </si>
  <si>
    <t>Description</t>
  </si>
  <si>
    <t>Probability (1–5)</t>
  </si>
  <si>
    <t>Impact (1–5)</t>
  </si>
  <si>
    <t>Score</t>
  </si>
  <si>
    <t>Rating</t>
  </si>
  <si>
    <t>Mitigation / response</t>
  </si>
  <si>
    <t>Trigger</t>
  </si>
  <si>
    <t>Review date</t>
  </si>
  <si>
    <t>R-01</t>
  </si>
  <si>
    <t>Risk</t>
  </si>
  <si>
    <t>Flight-content API latency or outage affects search</t>
  </si>
  <si>
    <t>Cache safe results; monitor API; agree escalation SLA</t>
  </si>
  <si>
    <t>Tech Lead</t>
  </si>
  <si>
    <t>Latency exceeds threshold</t>
  </si>
  <si>
    <t>Open</t>
  </si>
  <si>
    <t>R-02</t>
  </si>
  <si>
    <t>Fare changes between search and ticket confirmation</t>
  </si>
  <si>
    <t>Display expiry; revalidate price before confirmation</t>
  </si>
  <si>
    <t>Fare mismatch event</t>
  </si>
  <si>
    <t>Mitigated</t>
  </si>
  <si>
    <t>R-03</t>
  </si>
  <si>
    <t>Credit balance does not reconcile with finance records</t>
  </si>
  <si>
    <t>Single source of truth; daily reconciliation; exception queue</t>
  </si>
  <si>
    <t>Finance Lead</t>
  </si>
  <si>
    <t>Variance detected</t>
  </si>
  <si>
    <t>R-04</t>
  </si>
  <si>
    <t>Customers continue sending manual booking requests</t>
  </si>
  <si>
    <t>Pilot champions, onboarding, training and adoption dashboard</t>
  </si>
  <si>
    <t>Customer Success</t>
  </si>
  <si>
    <t>Self-service share below 40%</t>
  </si>
  <si>
    <t>R-05</t>
  </si>
  <si>
    <t>MVP scope expands beyond launch window</t>
  </si>
  <si>
    <t>MoSCoW scope; change control; Phase 2 parking lot</t>
  </si>
  <si>
    <t>Project Manager</t>
  </si>
  <si>
    <t>New must-have request</t>
  </si>
  <si>
    <t>R-06</t>
  </si>
  <si>
    <t>Personal or payment data exposure</t>
  </si>
  <si>
    <t>Role-based access, encryption, security test and audit logs</t>
  </si>
  <si>
    <t>Security Lead</t>
  </si>
  <si>
    <t>Critical finding</t>
  </si>
  <si>
    <t>A-01</t>
  </si>
  <si>
    <t>Assumption</t>
  </si>
  <si>
    <t>Pilot customers will provide UAT participants</t>
  </si>
  <si>
    <t>Secure named testers and backup participants early</t>
  </si>
  <si>
    <t>Tester gap</t>
  </si>
  <si>
    <t>Validated</t>
  </si>
  <si>
    <t>D-01</t>
  </si>
  <si>
    <t>Engineering delivery depends on approved API credentials</t>
  </si>
  <si>
    <t>Track credential request as launch-critical dependency</t>
  </si>
  <si>
    <t>Credential delay</t>
  </si>
  <si>
    <t>Closed</t>
  </si>
  <si>
    <t>Delivery RACI</t>
  </si>
  <si>
    <t>PM / Product Manager</t>
  </si>
  <si>
    <t>Executive Sponsor</t>
  </si>
  <si>
    <t>Engineering Lead</t>
  </si>
  <si>
    <t>UX / Research</t>
  </si>
  <si>
    <t>Finance / Ops</t>
  </si>
  <si>
    <t>Charter and business case</t>
  </si>
  <si>
    <t>R/A</t>
  </si>
  <si>
    <t>A</t>
  </si>
  <si>
    <t>C</t>
  </si>
  <si>
    <t>I</t>
  </si>
  <si>
    <t>User and market research</t>
  </si>
  <si>
    <t>R</t>
  </si>
  <si>
    <t>MVP scope and backlog</t>
  </si>
  <si>
    <t>Technical architecture</t>
  </si>
  <si>
    <t>Wireframes and prototype</t>
  </si>
  <si>
    <t>Sprint delivery</t>
  </si>
  <si>
    <t>UAT and launch readiness</t>
  </si>
  <si>
    <t>Customer onboarding</t>
  </si>
  <si>
    <t>Adoption measurement</t>
  </si>
  <si>
    <t>MVP Launch &amp; Adoption Dashboard — Illustrative Metrics</t>
  </si>
  <si>
    <t>90-day portfolio model following the May 2023 phased launch. Values are illustrative, not verified GoCardinal results.</t>
  </si>
  <si>
    <t>Activation rate</t>
  </si>
  <si>
    <t>90-day adoption</t>
  </si>
  <si>
    <t>Self-service share</t>
  </si>
  <si>
    <t>Turnaround reduction</t>
  </si>
  <si>
    <t>Month</t>
  </si>
  <si>
    <t>Activated users</t>
  </si>
  <si>
    <t>MAU</t>
  </si>
  <si>
    <t>Operational KPI</t>
  </si>
  <si>
    <t>Baseline</t>
  </si>
  <si>
    <t>Month 3</t>
  </si>
  <si>
    <t>Change</t>
  </si>
  <si>
    <t>Average booking turnaround (min)</t>
  </si>
  <si>
    <t>Requote/error rate</t>
  </si>
  <si>
    <t>Self-service bookings / month</t>
  </si>
  <si>
    <t>Estimated staff capacity released (hours)</t>
  </si>
  <si>
    <t>Illustrative 90-Day Adoption Data</t>
  </si>
  <si>
    <t>Synthetic portfolio data; replace with verified analytics before presenting as actual company performance.</t>
  </si>
  <si>
    <t>Eligible users</t>
  </si>
  <si>
    <t>Invited users</t>
  </si>
  <si>
    <t>Monthly active users</t>
  </si>
  <si>
    <t>Total bookings</t>
  </si>
  <si>
    <t>Self-service bookings</t>
  </si>
  <si>
    <t>Adoption rate</t>
  </si>
  <si>
    <t>Avg booking time (min)</t>
  </si>
  <si>
    <t>Jun-23</t>
  </si>
  <si>
    <t>Jul-23</t>
  </si>
  <si>
    <t xml:space="preserve">Project period: Aug 2022–May 2023 | Role: Project Manager &amp; Product Manager </t>
  </si>
  <si>
    <t>NIL</t>
  </si>
  <si>
    <t>90-day portfolio model following the May 2023 phased launch.</t>
  </si>
  <si>
    <t>GoKardinal B2B Self-Service Travel Booking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</si>
</sst>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%"/>
  </numFmts>
  <fonts count="8">
    <font>
      <sz val="11"/>
      <name val="Carlito"/>
    </font>
    <font>
      <sz val="11"/>
      <name val="Aptos"/>
    </font>
    <font>
      <sz val="11"/>
      <color rgb="FFFFFFFF"/>
      <name val="Aptos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i/>
      <sz val="12"/>
      <color rgb="FF667085"/>
      <name val="Times New Roman"/>
      <family val="1"/>
    </font>
    <font>
      <b/>
      <sz val="12"/>
      <color rgb="FF17324D"/>
      <name val="Times New Roman"/>
      <family val="1"/>
    </font>
    <font>
      <b/>
      <sz val="24"/>
      <color rgb="FFFFFF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7F3EA"/>
      </patternFill>
    </fill>
    <fill>
      <patternFill patternType="solid">
        <fgColor rgb="FFEAF2F8"/>
      </patternFill>
    </fill>
    <fill>
      <patternFill patternType="solid">
        <fgColor rgb="FF1F7A78"/>
      </patternFill>
    </fill>
  </fills>
  <borders count="21">
    <border>
      <left/>
      <right/>
      <top/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 style="thin">
        <color rgb="FFD0D5DD"/>
      </top>
      <bottom/>
      <diagonal/>
    </border>
    <border>
      <left style="thin">
        <color rgb="FF1F7A78"/>
      </left>
      <right/>
      <top style="thin">
        <color rgb="FF1F7A78"/>
      </top>
      <bottom/>
      <diagonal/>
    </border>
    <border>
      <left/>
      <right/>
      <top style="thin">
        <color rgb="FF1F7A78"/>
      </top>
      <bottom/>
      <diagonal/>
    </border>
    <border>
      <left/>
      <right style="thin">
        <color rgb="FF1F7A78"/>
      </right>
      <top style="thin">
        <color rgb="FF1F7A78"/>
      </top>
      <bottom/>
      <diagonal/>
    </border>
    <border>
      <left style="thin">
        <color rgb="FF1F7A78"/>
      </left>
      <right/>
      <top/>
      <bottom/>
      <diagonal/>
    </border>
    <border>
      <left/>
      <right style="thin">
        <color rgb="FF1F7A78"/>
      </right>
      <top/>
      <bottom/>
      <diagonal/>
    </border>
    <border>
      <left style="thin">
        <color rgb="FF1F7A78"/>
      </left>
      <right/>
      <top/>
      <bottom style="thin">
        <color rgb="FF1F7A78"/>
      </bottom>
      <diagonal/>
    </border>
    <border>
      <left/>
      <right/>
      <top/>
      <bottom style="thin">
        <color rgb="FF1F7A78"/>
      </bottom>
      <diagonal/>
    </border>
    <border>
      <left/>
      <right style="thin">
        <color rgb="FF1F7A78"/>
      </right>
      <top/>
      <bottom style="thin">
        <color rgb="FF1F7A7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3" borderId="0" xfId="0" applyFont="1" applyFill="1"/>
    <xf numFmtId="0" fontId="6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7" fillId="2" borderId="0" xfId="0" applyFont="1" applyFill="1" applyAlignment="1">
      <alignment horizontal="center" vertical="center"/>
    </xf>
    <xf numFmtId="0" fontId="4" fillId="0" borderId="0" xfId="0" applyFont="1"/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164" fontId="4" fillId="0" borderId="0" xfId="0" applyNumberFormat="1" applyFont="1"/>
    <xf numFmtId="164" fontId="4" fillId="0" borderId="0" xfId="0" applyNumberFormat="1" applyFont="1" applyAlignment="1">
      <alignment wrapText="1"/>
    </xf>
    <xf numFmtId="165" fontId="6" fillId="4" borderId="13" xfId="0" applyNumberFormat="1" applyFont="1" applyFill="1" applyBorder="1" applyAlignment="1">
      <alignment horizontal="center" vertical="center"/>
    </xf>
    <xf numFmtId="165" fontId="6" fillId="4" borderId="14" xfId="0" applyNumberFormat="1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vertical="center"/>
    </xf>
    <xf numFmtId="165" fontId="6" fillId="4" borderId="16" xfId="0" applyNumberFormat="1" applyFont="1" applyFill="1" applyBorder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6" fillId="4" borderId="17" xfId="0" applyNumberFormat="1" applyFont="1" applyFill="1" applyBorder="1" applyAlignment="1">
      <alignment horizontal="center" vertical="center"/>
    </xf>
    <xf numFmtId="165" fontId="6" fillId="4" borderId="18" xfId="0" applyNumberFormat="1" applyFont="1" applyFill="1" applyBorder="1" applyAlignment="1">
      <alignment horizontal="center" vertical="center"/>
    </xf>
    <xf numFmtId="165" fontId="6" fillId="4" borderId="19" xfId="0" applyNumberFormat="1" applyFont="1" applyFill="1" applyBorder="1" applyAlignment="1">
      <alignment horizontal="center" vertical="center"/>
    </xf>
    <xf numFmtId="165" fontId="6" fillId="4" borderId="20" xfId="0" applyNumberFormat="1" applyFont="1" applyFill="1" applyBorder="1" applyAlignment="1">
      <alignment horizontal="center" vertical="center"/>
    </xf>
    <xf numFmtId="3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7"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3D8DFF"/>
      </font>
      <fill>
        <patternFill patternType="solid">
          <bgColor rgb="FF3D8D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Activation and monthly active users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Activated users</c:v>
          </c:tx>
          <c:marker>
            <c:symbol val="none"/>
          </c:marker>
          <c:cat>
            <c:strRef>
              <c:f>'Adoption Dashboard'!$A$11:$A$13</c:f>
              <c:strCache>
                <c:ptCount val="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</c:strCache>
            </c:strRef>
          </c:cat>
          <c:val>
            <c:numRef>
              <c:f>'Adoption Dashboard'!$B$11:$B$13</c:f>
              <c:numCache>
                <c:formatCode>#,##0</c:formatCode>
                <c:ptCount val="3"/>
                <c:pt idx="0">
                  <c:v>100</c:v>
                </c:pt>
                <c:pt idx="1">
                  <c:v>180</c:v>
                </c:pt>
                <c:pt idx="2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C-C14B-BF14-81A663D01E6D}"/>
            </c:ext>
          </c:extLst>
        </c:ser>
        <c:ser>
          <c:idx val="1"/>
          <c:order val="1"/>
          <c:tx>
            <c:v>MAU</c:v>
          </c:tx>
          <c:marker>
            <c:symbol val="none"/>
          </c:marker>
          <c:cat>
            <c:strRef>
              <c:f>'Adoption Dashboard'!$A$11:$A$13</c:f>
              <c:strCache>
                <c:ptCount val="3"/>
                <c:pt idx="0">
                  <c:v>May-23</c:v>
                </c:pt>
                <c:pt idx="1">
                  <c:v>Jun-23</c:v>
                </c:pt>
                <c:pt idx="2">
                  <c:v>Jul-23</c:v>
                </c:pt>
              </c:strCache>
            </c:strRef>
          </c:cat>
          <c:val>
            <c:numRef>
              <c:f>'Adoption Dashboard'!$C$11:$C$13</c:f>
              <c:numCache>
                <c:formatCode>#,##0</c:formatCode>
                <c:ptCount val="3"/>
                <c:pt idx="0">
                  <c:v>80</c:v>
                </c:pt>
                <c:pt idx="1">
                  <c:v>145</c:v>
                </c:pt>
                <c:pt idx="2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5C-C14B-BF14-81A663D0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activeCell="D16" sqref="D16"/>
    </sheetView>
  </sheetViews>
  <sheetFormatPr baseColWidth="10" defaultColWidth="8.83203125" defaultRowHeight="16"/>
  <cols>
    <col min="1" max="1" width="24" style="3" customWidth="1"/>
    <col min="2" max="2" width="50" style="3" customWidth="1"/>
    <col min="3" max="8" width="16" style="3" customWidth="1"/>
    <col min="9" max="16384" width="8.83203125" style="3"/>
  </cols>
  <sheetData>
    <row r="1" spans="1:8" ht="34" customHeight="1">
      <c r="A1" s="19" t="s">
        <v>271</v>
      </c>
      <c r="B1" s="19" t="s">
        <v>0</v>
      </c>
      <c r="C1" s="19" t="s">
        <v>0</v>
      </c>
      <c r="D1" s="19" t="s">
        <v>0</v>
      </c>
      <c r="E1" s="19" t="s">
        <v>0</v>
      </c>
      <c r="F1" s="19" t="s">
        <v>0</v>
      </c>
      <c r="G1" s="19" t="s">
        <v>0</v>
      </c>
      <c r="H1" s="19" t="s">
        <v>0</v>
      </c>
    </row>
    <row r="2" spans="1:8" ht="34" customHeight="1">
      <c r="A2" s="19" t="s">
        <v>0</v>
      </c>
      <c r="B2" s="19" t="s">
        <v>0</v>
      </c>
      <c r="C2" s="19" t="s">
        <v>0</v>
      </c>
      <c r="D2" s="19" t="s">
        <v>0</v>
      </c>
      <c r="E2" s="19" t="s">
        <v>0</v>
      </c>
      <c r="F2" s="19" t="s">
        <v>0</v>
      </c>
      <c r="G2" s="19" t="s">
        <v>0</v>
      </c>
      <c r="H2" s="19" t="s">
        <v>0</v>
      </c>
    </row>
    <row r="3" spans="1:8">
      <c r="A3" s="4" t="s">
        <v>268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</row>
    <row r="5" spans="1:8" ht="34">
      <c r="A5" s="5" t="s">
        <v>2</v>
      </c>
      <c r="B5" s="6" t="s">
        <v>3</v>
      </c>
      <c r="D5" s="7" t="s">
        <v>4</v>
      </c>
      <c r="E5" s="8" t="s">
        <v>4</v>
      </c>
      <c r="F5" s="8" t="s">
        <v>4</v>
      </c>
      <c r="G5" s="8" t="s">
        <v>4</v>
      </c>
      <c r="H5" s="9" t="s">
        <v>4</v>
      </c>
    </row>
    <row r="6" spans="1:8" ht="51">
      <c r="A6" s="5" t="s">
        <v>5</v>
      </c>
      <c r="B6" s="6" t="s">
        <v>6</v>
      </c>
      <c r="D6" s="10" t="s">
        <v>7</v>
      </c>
      <c r="E6" s="11"/>
      <c r="F6" s="11"/>
      <c r="G6" s="11"/>
      <c r="H6" s="12"/>
    </row>
    <row r="7" spans="1:8" ht="51">
      <c r="A7" s="5" t="s">
        <v>8</v>
      </c>
      <c r="B7" s="6" t="s">
        <v>9</v>
      </c>
      <c r="D7" s="13" t="s">
        <v>10</v>
      </c>
      <c r="E7" s="14"/>
      <c r="F7" s="14"/>
      <c r="G7" s="14"/>
      <c r="H7" s="15"/>
    </row>
    <row r="8" spans="1:8" ht="51">
      <c r="A8" s="5" t="s">
        <v>11</v>
      </c>
      <c r="B8" s="6" t="s">
        <v>12</v>
      </c>
      <c r="D8" s="13" t="s">
        <v>13</v>
      </c>
      <c r="E8" s="14"/>
      <c r="F8" s="14"/>
      <c r="G8" s="14"/>
      <c r="H8" s="15"/>
    </row>
    <row r="9" spans="1:8" ht="51">
      <c r="A9" s="5" t="s">
        <v>14</v>
      </c>
      <c r="B9" s="6" t="s">
        <v>15</v>
      </c>
      <c r="D9" s="13" t="s">
        <v>16</v>
      </c>
      <c r="E9" s="14"/>
      <c r="F9" s="14"/>
      <c r="G9" s="14"/>
      <c r="H9" s="15"/>
    </row>
    <row r="10" spans="1:8" ht="34">
      <c r="A10" s="5" t="s">
        <v>17</v>
      </c>
      <c r="B10" s="6" t="s">
        <v>18</v>
      </c>
      <c r="D10" s="16" t="s">
        <v>19</v>
      </c>
      <c r="E10" s="17"/>
      <c r="F10" s="17"/>
      <c r="G10" s="17"/>
      <c r="H10" s="18"/>
    </row>
    <row r="11" spans="1:8" ht="34">
      <c r="A11" s="5" t="s">
        <v>20</v>
      </c>
      <c r="B11" s="6" t="s">
        <v>21</v>
      </c>
    </row>
    <row r="12" spans="1:8" ht="34">
      <c r="A12" s="5" t="s">
        <v>22</v>
      </c>
      <c r="B12" s="6" t="s">
        <v>23</v>
      </c>
    </row>
  </sheetData>
  <mergeCells count="8">
    <mergeCell ref="D8:H8"/>
    <mergeCell ref="D9:H9"/>
    <mergeCell ref="D10:H10"/>
    <mergeCell ref="A1:H2"/>
    <mergeCell ref="A3:H3"/>
    <mergeCell ref="D5:H5"/>
    <mergeCell ref="D6:H6"/>
    <mergeCell ref="D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workbookViewId="0">
      <selection sqref="A1:Q2"/>
    </sheetView>
  </sheetViews>
  <sheetFormatPr baseColWidth="10" defaultColWidth="8.83203125" defaultRowHeight="15"/>
  <cols>
    <col min="1" max="1" width="16" customWidth="1"/>
    <col min="2" max="2" width="38" customWidth="1"/>
    <col min="3" max="4" width="13" customWidth="1"/>
    <col min="5" max="5" width="20" customWidth="1"/>
    <col min="6" max="6" width="24" customWidth="1"/>
    <col min="7" max="16" width="10" customWidth="1"/>
    <col min="17" max="17" width="14" customWidth="1"/>
  </cols>
  <sheetData>
    <row r="1" spans="1:17" ht="34" customHeight="1">
      <c r="A1" s="19" t="s">
        <v>24</v>
      </c>
      <c r="B1" s="19" t="s">
        <v>24</v>
      </c>
      <c r="C1" s="19" t="s">
        <v>24</v>
      </c>
      <c r="D1" s="19" t="s">
        <v>24</v>
      </c>
      <c r="E1" s="19" t="s">
        <v>24</v>
      </c>
      <c r="F1" s="19" t="s">
        <v>24</v>
      </c>
      <c r="G1" s="19" t="s">
        <v>24</v>
      </c>
      <c r="H1" s="19" t="s">
        <v>24</v>
      </c>
      <c r="I1" s="19" t="s">
        <v>24</v>
      </c>
      <c r="J1" s="19" t="s">
        <v>24</v>
      </c>
      <c r="K1" s="19" t="s">
        <v>24</v>
      </c>
      <c r="L1" s="19" t="s">
        <v>24</v>
      </c>
      <c r="M1" s="19" t="s">
        <v>24</v>
      </c>
      <c r="N1" s="19" t="s">
        <v>24</v>
      </c>
      <c r="O1" s="19" t="s">
        <v>24</v>
      </c>
      <c r="P1" s="19" t="s">
        <v>24</v>
      </c>
      <c r="Q1" s="19" t="s">
        <v>24</v>
      </c>
    </row>
    <row r="2" spans="1:17" ht="34" customHeight="1">
      <c r="A2" s="19" t="s">
        <v>24</v>
      </c>
      <c r="B2" s="19" t="s">
        <v>24</v>
      </c>
      <c r="C2" s="19" t="s">
        <v>24</v>
      </c>
      <c r="D2" s="19" t="s">
        <v>24</v>
      </c>
      <c r="E2" s="19" t="s">
        <v>24</v>
      </c>
      <c r="F2" s="19" t="s">
        <v>24</v>
      </c>
      <c r="G2" s="19" t="s">
        <v>24</v>
      </c>
      <c r="H2" s="19" t="s">
        <v>24</v>
      </c>
      <c r="I2" s="19" t="s">
        <v>24</v>
      </c>
      <c r="J2" s="19" t="s">
        <v>24</v>
      </c>
      <c r="K2" s="19" t="s">
        <v>24</v>
      </c>
      <c r="L2" s="19" t="s">
        <v>24</v>
      </c>
      <c r="M2" s="19" t="s">
        <v>24</v>
      </c>
      <c r="N2" s="19" t="s">
        <v>24</v>
      </c>
      <c r="O2" s="19" t="s">
        <v>24</v>
      </c>
      <c r="P2" s="19" t="s">
        <v>24</v>
      </c>
      <c r="Q2" s="19" t="s">
        <v>24</v>
      </c>
    </row>
    <row r="3" spans="1:17" ht="16">
      <c r="A3" s="20" t="s">
        <v>25</v>
      </c>
      <c r="B3" s="20" t="s">
        <v>25</v>
      </c>
      <c r="C3" s="20" t="s">
        <v>25</v>
      </c>
      <c r="D3" s="20" t="s">
        <v>25</v>
      </c>
      <c r="E3" s="20" t="s">
        <v>25</v>
      </c>
      <c r="F3" s="20" t="s">
        <v>25</v>
      </c>
      <c r="G3" s="20" t="s">
        <v>25</v>
      </c>
      <c r="H3" s="20" t="s">
        <v>25</v>
      </c>
      <c r="I3" s="20" t="s">
        <v>25</v>
      </c>
      <c r="J3" s="20" t="s">
        <v>25</v>
      </c>
      <c r="K3" s="20" t="s">
        <v>25</v>
      </c>
      <c r="L3" s="20" t="s">
        <v>25</v>
      </c>
      <c r="M3" s="20" t="s">
        <v>25</v>
      </c>
      <c r="N3" s="20" t="s">
        <v>25</v>
      </c>
      <c r="O3" s="20" t="s">
        <v>25</v>
      </c>
      <c r="P3" s="20" t="s">
        <v>25</v>
      </c>
      <c r="Q3" s="20" t="s">
        <v>25</v>
      </c>
    </row>
    <row r="4" spans="1:17" ht="17">
      <c r="A4" s="21" t="s">
        <v>26</v>
      </c>
      <c r="B4" s="22" t="s">
        <v>27</v>
      </c>
      <c r="C4" s="22" t="s">
        <v>28</v>
      </c>
      <c r="D4" s="22" t="s">
        <v>29</v>
      </c>
      <c r="E4" s="22" t="s">
        <v>30</v>
      </c>
      <c r="F4" s="22" t="s">
        <v>31</v>
      </c>
      <c r="G4" s="22" t="s">
        <v>32</v>
      </c>
      <c r="H4" s="22" t="s">
        <v>33</v>
      </c>
      <c r="I4" s="22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2" t="s">
        <v>39</v>
      </c>
      <c r="O4" s="22" t="s">
        <v>40</v>
      </c>
      <c r="P4" s="22" t="s">
        <v>41</v>
      </c>
      <c r="Q4" s="23" t="s">
        <v>42</v>
      </c>
    </row>
    <row r="5" spans="1:17" ht="16">
      <c r="A5" s="3" t="s">
        <v>43</v>
      </c>
      <c r="B5" s="3" t="s">
        <v>44</v>
      </c>
      <c r="C5" s="24">
        <v>44774</v>
      </c>
      <c r="D5" s="24">
        <v>44792</v>
      </c>
      <c r="E5" s="3" t="s">
        <v>45</v>
      </c>
      <c r="F5" s="3" t="s">
        <v>46</v>
      </c>
      <c r="G5" s="3">
        <f t="shared" ref="G5:P17" si="0">IF(AND($C5&lt;=G$20,$D5&gt;=G$19),1,"")</f>
        <v>1</v>
      </c>
      <c r="H5" s="3" t="str">
        <f t="shared" si="0"/>
        <v/>
      </c>
      <c r="I5" s="3" t="str">
        <f t="shared" si="0"/>
        <v/>
      </c>
      <c r="J5" s="3" t="str">
        <f t="shared" si="0"/>
        <v/>
      </c>
      <c r="K5" s="3" t="str">
        <f t="shared" si="0"/>
        <v/>
      </c>
      <c r="L5" s="3" t="str">
        <f t="shared" si="0"/>
        <v/>
      </c>
      <c r="M5" s="3" t="str">
        <f t="shared" si="0"/>
        <v/>
      </c>
      <c r="N5" s="3" t="str">
        <f t="shared" si="0"/>
        <v/>
      </c>
      <c r="O5" s="3" t="str">
        <f t="shared" si="0"/>
        <v/>
      </c>
      <c r="P5" s="3" t="str">
        <f t="shared" si="0"/>
        <v/>
      </c>
      <c r="Q5" s="3" t="s">
        <v>47</v>
      </c>
    </row>
    <row r="6" spans="1:17" ht="16">
      <c r="A6" s="3" t="s">
        <v>48</v>
      </c>
      <c r="B6" s="3" t="s">
        <v>49</v>
      </c>
      <c r="C6" s="24">
        <v>44788</v>
      </c>
      <c r="D6" s="24">
        <v>44820</v>
      </c>
      <c r="E6" s="3" t="s">
        <v>50</v>
      </c>
      <c r="F6" s="3" t="s">
        <v>51</v>
      </c>
      <c r="G6" s="3">
        <f t="shared" si="0"/>
        <v>1</v>
      </c>
      <c r="H6" s="3">
        <f t="shared" si="0"/>
        <v>1</v>
      </c>
      <c r="I6" s="3" t="str">
        <f t="shared" si="0"/>
        <v/>
      </c>
      <c r="J6" s="3" t="str">
        <f t="shared" si="0"/>
        <v/>
      </c>
      <c r="K6" s="3" t="str">
        <f t="shared" si="0"/>
        <v/>
      </c>
      <c r="L6" s="3" t="str">
        <f t="shared" si="0"/>
        <v/>
      </c>
      <c r="M6" s="3" t="str">
        <f t="shared" si="0"/>
        <v/>
      </c>
      <c r="N6" s="3" t="str">
        <f t="shared" si="0"/>
        <v/>
      </c>
      <c r="O6" s="3" t="str">
        <f t="shared" si="0"/>
        <v/>
      </c>
      <c r="P6" s="3" t="str">
        <f t="shared" si="0"/>
        <v/>
      </c>
      <c r="Q6" s="3" t="s">
        <v>47</v>
      </c>
    </row>
    <row r="7" spans="1:17" ht="16">
      <c r="A7" s="3" t="s">
        <v>48</v>
      </c>
      <c r="B7" s="3" t="s">
        <v>52</v>
      </c>
      <c r="C7" s="24">
        <v>44795</v>
      </c>
      <c r="D7" s="24">
        <v>44827</v>
      </c>
      <c r="E7" s="3" t="s">
        <v>50</v>
      </c>
      <c r="F7" s="3" t="s">
        <v>53</v>
      </c>
      <c r="G7" s="3">
        <f t="shared" si="0"/>
        <v>1</v>
      </c>
      <c r="H7" s="3">
        <f t="shared" si="0"/>
        <v>1</v>
      </c>
      <c r="I7" s="3" t="str">
        <f t="shared" si="0"/>
        <v/>
      </c>
      <c r="J7" s="3" t="str">
        <f t="shared" si="0"/>
        <v/>
      </c>
      <c r="K7" s="3" t="str">
        <f t="shared" si="0"/>
        <v/>
      </c>
      <c r="L7" s="3" t="str">
        <f t="shared" si="0"/>
        <v/>
      </c>
      <c r="M7" s="3" t="str">
        <f t="shared" si="0"/>
        <v/>
      </c>
      <c r="N7" s="3" t="str">
        <f t="shared" si="0"/>
        <v/>
      </c>
      <c r="O7" s="3" t="str">
        <f t="shared" si="0"/>
        <v/>
      </c>
      <c r="P7" s="3" t="str">
        <f t="shared" si="0"/>
        <v/>
      </c>
      <c r="Q7" s="3" t="s">
        <v>47</v>
      </c>
    </row>
    <row r="8" spans="1:17" ht="16">
      <c r="A8" s="3" t="s">
        <v>54</v>
      </c>
      <c r="B8" s="3" t="s">
        <v>55</v>
      </c>
      <c r="C8" s="24">
        <v>44816</v>
      </c>
      <c r="D8" s="24">
        <v>44848</v>
      </c>
      <c r="E8" s="3" t="s">
        <v>50</v>
      </c>
      <c r="F8" s="3" t="s">
        <v>56</v>
      </c>
      <c r="G8" s="3" t="str">
        <f t="shared" si="0"/>
        <v/>
      </c>
      <c r="H8" s="3">
        <f t="shared" si="0"/>
        <v>1</v>
      </c>
      <c r="I8" s="3">
        <f t="shared" si="0"/>
        <v>1</v>
      </c>
      <c r="J8" s="3" t="str">
        <f t="shared" si="0"/>
        <v/>
      </c>
      <c r="K8" s="3" t="str">
        <f t="shared" si="0"/>
        <v/>
      </c>
      <c r="L8" s="3" t="str">
        <f t="shared" si="0"/>
        <v/>
      </c>
      <c r="M8" s="3" t="str">
        <f t="shared" si="0"/>
        <v/>
      </c>
      <c r="N8" s="3" t="str">
        <f t="shared" si="0"/>
        <v/>
      </c>
      <c r="O8" s="3" t="str">
        <f t="shared" si="0"/>
        <v/>
      </c>
      <c r="P8" s="3" t="str">
        <f t="shared" si="0"/>
        <v/>
      </c>
      <c r="Q8" s="3" t="s">
        <v>47</v>
      </c>
    </row>
    <row r="9" spans="1:17" ht="16">
      <c r="A9" s="3" t="s">
        <v>54</v>
      </c>
      <c r="B9" s="3" t="s">
        <v>57</v>
      </c>
      <c r="C9" s="24">
        <v>44837</v>
      </c>
      <c r="D9" s="24">
        <v>44865</v>
      </c>
      <c r="E9" s="3" t="s">
        <v>45</v>
      </c>
      <c r="F9" s="3" t="s">
        <v>58</v>
      </c>
      <c r="G9" s="3" t="str">
        <f t="shared" si="0"/>
        <v/>
      </c>
      <c r="H9" s="3" t="str">
        <f t="shared" si="0"/>
        <v/>
      </c>
      <c r="I9" s="3">
        <f t="shared" si="0"/>
        <v>1</v>
      </c>
      <c r="J9" s="3" t="str">
        <f t="shared" si="0"/>
        <v/>
      </c>
      <c r="K9" s="3" t="str">
        <f t="shared" si="0"/>
        <v/>
      </c>
      <c r="L9" s="3" t="str">
        <f t="shared" si="0"/>
        <v/>
      </c>
      <c r="M9" s="3" t="str">
        <f t="shared" si="0"/>
        <v/>
      </c>
      <c r="N9" s="3" t="str">
        <f t="shared" si="0"/>
        <v/>
      </c>
      <c r="O9" s="3" t="str">
        <f t="shared" si="0"/>
        <v/>
      </c>
      <c r="P9" s="3" t="str">
        <f t="shared" si="0"/>
        <v/>
      </c>
      <c r="Q9" s="3" t="s">
        <v>47</v>
      </c>
    </row>
    <row r="10" spans="1:17" ht="16">
      <c r="A10" s="3" t="s">
        <v>59</v>
      </c>
      <c r="B10" s="3" t="s">
        <v>60</v>
      </c>
      <c r="C10" s="24">
        <v>44851</v>
      </c>
      <c r="D10" s="24">
        <v>44890</v>
      </c>
      <c r="E10" s="3" t="s">
        <v>61</v>
      </c>
      <c r="F10" s="3" t="s">
        <v>62</v>
      </c>
      <c r="G10" s="3" t="str">
        <f t="shared" si="0"/>
        <v/>
      </c>
      <c r="H10" s="3" t="str">
        <f t="shared" si="0"/>
        <v/>
      </c>
      <c r="I10" s="3">
        <f t="shared" si="0"/>
        <v>1</v>
      </c>
      <c r="J10" s="3">
        <f t="shared" si="0"/>
        <v>1</v>
      </c>
      <c r="K10" s="3" t="str">
        <f t="shared" si="0"/>
        <v/>
      </c>
      <c r="L10" s="3" t="str">
        <f t="shared" si="0"/>
        <v/>
      </c>
      <c r="M10" s="3" t="str">
        <f t="shared" si="0"/>
        <v/>
      </c>
      <c r="N10" s="3" t="str">
        <f t="shared" si="0"/>
        <v/>
      </c>
      <c r="O10" s="3" t="str">
        <f t="shared" si="0"/>
        <v/>
      </c>
      <c r="P10" s="3" t="str">
        <f t="shared" si="0"/>
        <v/>
      </c>
      <c r="Q10" s="3" t="s">
        <v>47</v>
      </c>
    </row>
    <row r="11" spans="1:17" ht="16">
      <c r="A11" s="3" t="s">
        <v>63</v>
      </c>
      <c r="B11" s="3" t="s">
        <v>64</v>
      </c>
      <c r="C11" s="24">
        <v>44879</v>
      </c>
      <c r="D11" s="24">
        <v>44911</v>
      </c>
      <c r="E11" s="3" t="s">
        <v>65</v>
      </c>
      <c r="F11" s="3" t="s">
        <v>66</v>
      </c>
      <c r="G11" s="3" t="str">
        <f t="shared" si="0"/>
        <v/>
      </c>
      <c r="H11" s="3" t="str">
        <f t="shared" si="0"/>
        <v/>
      </c>
      <c r="I11" s="3" t="str">
        <f t="shared" si="0"/>
        <v/>
      </c>
      <c r="J11" s="3">
        <f t="shared" si="0"/>
        <v>1</v>
      </c>
      <c r="K11" s="3">
        <f t="shared" si="0"/>
        <v>1</v>
      </c>
      <c r="L11" s="3" t="str">
        <f t="shared" si="0"/>
        <v/>
      </c>
      <c r="M11" s="3" t="str">
        <f t="shared" si="0"/>
        <v/>
      </c>
      <c r="N11" s="3" t="str">
        <f t="shared" si="0"/>
        <v/>
      </c>
      <c r="O11" s="3" t="str">
        <f t="shared" si="0"/>
        <v/>
      </c>
      <c r="P11" s="3" t="str">
        <f t="shared" si="0"/>
        <v/>
      </c>
      <c r="Q11" s="3" t="s">
        <v>47</v>
      </c>
    </row>
    <row r="12" spans="1:17" ht="16">
      <c r="A12" s="3" t="s">
        <v>67</v>
      </c>
      <c r="B12" s="3" t="s">
        <v>68</v>
      </c>
      <c r="C12" s="24">
        <v>44928</v>
      </c>
      <c r="D12" s="24">
        <v>44957</v>
      </c>
      <c r="E12" s="3" t="s">
        <v>69</v>
      </c>
      <c r="F12" s="3" t="s">
        <v>70</v>
      </c>
      <c r="G12" s="3" t="str">
        <f t="shared" si="0"/>
        <v/>
      </c>
      <c r="H12" s="3" t="str">
        <f t="shared" si="0"/>
        <v/>
      </c>
      <c r="I12" s="3" t="str">
        <f t="shared" si="0"/>
        <v/>
      </c>
      <c r="J12" s="3" t="str">
        <f t="shared" si="0"/>
        <v/>
      </c>
      <c r="K12" s="3" t="str">
        <f t="shared" si="0"/>
        <v/>
      </c>
      <c r="L12" s="3">
        <f t="shared" si="0"/>
        <v>1</v>
      </c>
      <c r="M12" s="3" t="str">
        <f t="shared" si="0"/>
        <v/>
      </c>
      <c r="N12" s="3" t="str">
        <f t="shared" si="0"/>
        <v/>
      </c>
      <c r="O12" s="3" t="str">
        <f t="shared" si="0"/>
        <v/>
      </c>
      <c r="P12" s="3" t="str">
        <f t="shared" si="0"/>
        <v/>
      </c>
      <c r="Q12" s="3" t="s">
        <v>47</v>
      </c>
    </row>
    <row r="13" spans="1:17" ht="16">
      <c r="A13" s="3" t="s">
        <v>67</v>
      </c>
      <c r="B13" s="3" t="s">
        <v>71</v>
      </c>
      <c r="C13" s="24">
        <v>44958</v>
      </c>
      <c r="D13" s="24">
        <v>44985</v>
      </c>
      <c r="E13" s="3" t="s">
        <v>69</v>
      </c>
      <c r="F13" s="3" t="s">
        <v>72</v>
      </c>
      <c r="G13" s="3" t="str">
        <f t="shared" si="0"/>
        <v/>
      </c>
      <c r="H13" s="3" t="str">
        <f t="shared" si="0"/>
        <v/>
      </c>
      <c r="I13" s="3" t="str">
        <f t="shared" si="0"/>
        <v/>
      </c>
      <c r="J13" s="3" t="str">
        <f t="shared" si="0"/>
        <v/>
      </c>
      <c r="K13" s="3" t="str">
        <f t="shared" si="0"/>
        <v/>
      </c>
      <c r="L13" s="3" t="str">
        <f t="shared" si="0"/>
        <v/>
      </c>
      <c r="M13" s="3">
        <f t="shared" si="0"/>
        <v>1</v>
      </c>
      <c r="N13" s="3" t="str">
        <f t="shared" si="0"/>
        <v/>
      </c>
      <c r="O13" s="3" t="str">
        <f t="shared" si="0"/>
        <v/>
      </c>
      <c r="P13" s="3" t="str">
        <f t="shared" si="0"/>
        <v/>
      </c>
      <c r="Q13" s="3" t="s">
        <v>47</v>
      </c>
    </row>
    <row r="14" spans="1:17" ht="16">
      <c r="A14" s="3" t="s">
        <v>67</v>
      </c>
      <c r="B14" s="3" t="s">
        <v>73</v>
      </c>
      <c r="C14" s="24">
        <v>44977</v>
      </c>
      <c r="D14" s="24">
        <v>45002</v>
      </c>
      <c r="E14" s="3" t="s">
        <v>69</v>
      </c>
      <c r="F14" s="3" t="s">
        <v>74</v>
      </c>
      <c r="G14" s="3" t="str">
        <f t="shared" si="0"/>
        <v/>
      </c>
      <c r="H14" s="3" t="str">
        <f t="shared" si="0"/>
        <v/>
      </c>
      <c r="I14" s="3" t="str">
        <f t="shared" si="0"/>
        <v/>
      </c>
      <c r="J14" s="3" t="str">
        <f t="shared" si="0"/>
        <v/>
      </c>
      <c r="K14" s="3" t="str">
        <f t="shared" si="0"/>
        <v/>
      </c>
      <c r="L14" s="3" t="str">
        <f t="shared" si="0"/>
        <v/>
      </c>
      <c r="M14" s="3">
        <f t="shared" si="0"/>
        <v>1</v>
      </c>
      <c r="N14" s="3">
        <f t="shared" si="0"/>
        <v>1</v>
      </c>
      <c r="O14" s="3" t="str">
        <f t="shared" si="0"/>
        <v/>
      </c>
      <c r="P14" s="3" t="str">
        <f t="shared" si="0"/>
        <v/>
      </c>
      <c r="Q14" s="3" t="s">
        <v>47</v>
      </c>
    </row>
    <row r="15" spans="1:17" ht="16">
      <c r="A15" s="3" t="s">
        <v>75</v>
      </c>
      <c r="B15" s="3" t="s">
        <v>76</v>
      </c>
      <c r="C15" s="24">
        <v>44991</v>
      </c>
      <c r="D15" s="24">
        <v>45023</v>
      </c>
      <c r="E15" s="3" t="s">
        <v>77</v>
      </c>
      <c r="F15" s="3" t="s">
        <v>78</v>
      </c>
      <c r="G15" s="3" t="str">
        <f t="shared" si="0"/>
        <v/>
      </c>
      <c r="H15" s="3" t="str">
        <f t="shared" si="0"/>
        <v/>
      </c>
      <c r="I15" s="3" t="str">
        <f t="shared" si="0"/>
        <v/>
      </c>
      <c r="J15" s="3" t="str">
        <f t="shared" si="0"/>
        <v/>
      </c>
      <c r="K15" s="3" t="str">
        <f t="shared" si="0"/>
        <v/>
      </c>
      <c r="L15" s="3" t="str">
        <f t="shared" si="0"/>
        <v/>
      </c>
      <c r="M15" s="3" t="str">
        <f t="shared" si="0"/>
        <v/>
      </c>
      <c r="N15" s="3">
        <f t="shared" si="0"/>
        <v>1</v>
      </c>
      <c r="O15" s="3">
        <f t="shared" si="0"/>
        <v>1</v>
      </c>
      <c r="P15" s="3" t="str">
        <f t="shared" si="0"/>
        <v/>
      </c>
      <c r="Q15" s="3" t="s">
        <v>47</v>
      </c>
    </row>
    <row r="16" spans="1:17" ht="16">
      <c r="A16" s="3" t="s">
        <v>20</v>
      </c>
      <c r="B16" s="3" t="s">
        <v>79</v>
      </c>
      <c r="C16" s="24">
        <v>45019</v>
      </c>
      <c r="D16" s="24">
        <v>45051</v>
      </c>
      <c r="E16" s="3" t="s">
        <v>80</v>
      </c>
      <c r="F16" s="3" t="s">
        <v>81</v>
      </c>
      <c r="G16" s="3" t="str">
        <f t="shared" si="0"/>
        <v/>
      </c>
      <c r="H16" s="3" t="str">
        <f t="shared" si="0"/>
        <v/>
      </c>
      <c r="I16" s="3" t="str">
        <f t="shared" si="0"/>
        <v/>
      </c>
      <c r="J16" s="3" t="str">
        <f t="shared" si="0"/>
        <v/>
      </c>
      <c r="K16" s="3" t="str">
        <f t="shared" si="0"/>
        <v/>
      </c>
      <c r="L16" s="3" t="str">
        <f t="shared" si="0"/>
        <v/>
      </c>
      <c r="M16" s="3" t="str">
        <f t="shared" si="0"/>
        <v/>
      </c>
      <c r="N16" s="3" t="str">
        <f t="shared" si="0"/>
        <v/>
      </c>
      <c r="O16" s="3">
        <f t="shared" si="0"/>
        <v>1</v>
      </c>
      <c r="P16" s="3">
        <f t="shared" si="0"/>
        <v>1</v>
      </c>
      <c r="Q16" s="3" t="s">
        <v>47</v>
      </c>
    </row>
    <row r="17" spans="1:17" ht="16">
      <c r="A17" s="3" t="s">
        <v>20</v>
      </c>
      <c r="B17" s="3" t="s">
        <v>82</v>
      </c>
      <c r="C17" s="24">
        <v>45054</v>
      </c>
      <c r="D17" s="24">
        <v>45077</v>
      </c>
      <c r="E17" s="3" t="s">
        <v>83</v>
      </c>
      <c r="F17" s="3" t="s">
        <v>84</v>
      </c>
      <c r="G17" s="3" t="str">
        <f t="shared" si="0"/>
        <v/>
      </c>
      <c r="H17" s="3" t="str">
        <f t="shared" si="0"/>
        <v/>
      </c>
      <c r="I17" s="3" t="str">
        <f t="shared" si="0"/>
        <v/>
      </c>
      <c r="J17" s="3" t="str">
        <f t="shared" si="0"/>
        <v/>
      </c>
      <c r="K17" s="3" t="str">
        <f t="shared" si="0"/>
        <v/>
      </c>
      <c r="L17" s="3" t="str">
        <f t="shared" si="0"/>
        <v/>
      </c>
      <c r="M17" s="3" t="str">
        <f t="shared" si="0"/>
        <v/>
      </c>
      <c r="N17" s="3" t="str">
        <f t="shared" si="0"/>
        <v/>
      </c>
      <c r="O17" s="3" t="str">
        <f t="shared" si="0"/>
        <v/>
      </c>
      <c r="P17" s="3">
        <f t="shared" si="0"/>
        <v>1</v>
      </c>
      <c r="Q17" s="3" t="s">
        <v>47</v>
      </c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" customHeight="1">
      <c r="A19" s="1"/>
      <c r="B19" s="1"/>
      <c r="C19" s="1"/>
      <c r="D19" s="1"/>
      <c r="E19" s="1"/>
      <c r="F19" s="1"/>
      <c r="G19" s="2">
        <v>44774</v>
      </c>
      <c r="H19" s="2">
        <v>44805</v>
      </c>
      <c r="I19" s="2">
        <v>44835</v>
      </c>
      <c r="J19" s="2">
        <v>44866</v>
      </c>
      <c r="K19" s="2">
        <v>44896</v>
      </c>
      <c r="L19" s="2">
        <v>44927</v>
      </c>
      <c r="M19" s="2">
        <v>44958</v>
      </c>
      <c r="N19" s="2">
        <v>44986</v>
      </c>
      <c r="O19" s="2">
        <v>45017</v>
      </c>
      <c r="P19" s="2">
        <v>45047</v>
      </c>
      <c r="Q19" s="1"/>
    </row>
    <row r="20" spans="1:17" ht="2" customHeight="1">
      <c r="A20" s="1"/>
      <c r="B20" s="1"/>
      <c r="C20" s="1"/>
      <c r="D20" s="1"/>
      <c r="E20" s="1"/>
      <c r="F20" s="1"/>
      <c r="G20" s="2">
        <v>44804</v>
      </c>
      <c r="H20" s="2">
        <v>44834</v>
      </c>
      <c r="I20" s="2">
        <v>44865</v>
      </c>
      <c r="J20" s="2">
        <v>44895</v>
      </c>
      <c r="K20" s="2">
        <v>44926</v>
      </c>
      <c r="L20" s="2">
        <v>44957</v>
      </c>
      <c r="M20" s="2">
        <v>44985</v>
      </c>
      <c r="N20" s="2">
        <v>45016</v>
      </c>
      <c r="O20" s="2">
        <v>45046</v>
      </c>
      <c r="P20" s="2">
        <v>45077</v>
      </c>
      <c r="Q20" s="1"/>
    </row>
  </sheetData>
  <mergeCells count="2">
    <mergeCell ref="A1:Q2"/>
    <mergeCell ref="A3:Q3"/>
  </mergeCells>
  <conditionalFormatting sqref="G5:P17">
    <cfRule type="cellIs" dxfId="6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showGridLines="0" workbookViewId="0">
      <selection activeCell="L10" sqref="L10"/>
    </sheetView>
  </sheetViews>
  <sheetFormatPr baseColWidth="10" defaultColWidth="8.83203125" defaultRowHeight="15"/>
  <cols>
    <col min="1" max="1" width="11" customWidth="1"/>
    <col min="2" max="2" width="16" customWidth="1"/>
    <col min="3" max="3" width="45" customWidth="1"/>
    <col min="4" max="7" width="14" customWidth="1"/>
    <col min="8" max="8" width="42" customWidth="1"/>
    <col min="9" max="10" width="20" customWidth="1"/>
  </cols>
  <sheetData>
    <row r="1" spans="1:10" ht="34" customHeight="1">
      <c r="A1" s="19" t="s">
        <v>85</v>
      </c>
      <c r="B1" s="19" t="s">
        <v>85</v>
      </c>
      <c r="C1" s="19" t="s">
        <v>85</v>
      </c>
      <c r="D1" s="19" t="s">
        <v>85</v>
      </c>
      <c r="E1" s="19" t="s">
        <v>85</v>
      </c>
      <c r="F1" s="19" t="s">
        <v>85</v>
      </c>
      <c r="G1" s="19" t="s">
        <v>85</v>
      </c>
      <c r="H1" s="19" t="s">
        <v>85</v>
      </c>
      <c r="I1" s="19" t="s">
        <v>85</v>
      </c>
      <c r="J1" s="19" t="s">
        <v>85</v>
      </c>
    </row>
    <row r="2" spans="1:10" ht="34" customHeight="1">
      <c r="A2" s="19" t="s">
        <v>85</v>
      </c>
      <c r="B2" s="19" t="s">
        <v>85</v>
      </c>
      <c r="C2" s="19" t="s">
        <v>85</v>
      </c>
      <c r="D2" s="19" t="s">
        <v>85</v>
      </c>
      <c r="E2" s="19" t="s">
        <v>85</v>
      </c>
      <c r="F2" s="19" t="s">
        <v>85</v>
      </c>
      <c r="G2" s="19" t="s">
        <v>85</v>
      </c>
      <c r="H2" s="19" t="s">
        <v>85</v>
      </c>
      <c r="I2" s="19" t="s">
        <v>85</v>
      </c>
      <c r="J2" s="19" t="s">
        <v>85</v>
      </c>
    </row>
    <row r="3" spans="1:10" ht="16">
      <c r="A3" s="20" t="s">
        <v>86</v>
      </c>
      <c r="B3" s="20" t="s">
        <v>86</v>
      </c>
      <c r="C3" s="20" t="s">
        <v>86</v>
      </c>
      <c r="D3" s="20" t="s">
        <v>86</v>
      </c>
      <c r="E3" s="20" t="s">
        <v>86</v>
      </c>
      <c r="F3" s="20" t="s">
        <v>86</v>
      </c>
      <c r="G3" s="20" t="s">
        <v>86</v>
      </c>
      <c r="H3" s="20" t="s">
        <v>86</v>
      </c>
      <c r="I3" s="20" t="s">
        <v>86</v>
      </c>
      <c r="J3" s="20" t="s">
        <v>86</v>
      </c>
    </row>
    <row r="4" spans="1:10" ht="17">
      <c r="A4" s="21" t="s">
        <v>87</v>
      </c>
      <c r="B4" s="22" t="s">
        <v>88</v>
      </c>
      <c r="C4" s="22" t="s">
        <v>89</v>
      </c>
      <c r="D4" s="22" t="s">
        <v>90</v>
      </c>
      <c r="E4" s="22" t="s">
        <v>91</v>
      </c>
      <c r="F4" s="22" t="s">
        <v>92</v>
      </c>
      <c r="G4" s="22" t="s">
        <v>42</v>
      </c>
      <c r="H4" s="22" t="s">
        <v>93</v>
      </c>
      <c r="I4" s="22" t="s">
        <v>30</v>
      </c>
      <c r="J4" s="23" t="s">
        <v>94</v>
      </c>
    </row>
    <row r="5" spans="1:10" ht="34">
      <c r="A5" s="6" t="s">
        <v>95</v>
      </c>
      <c r="B5" s="6" t="s">
        <v>96</v>
      </c>
      <c r="C5" s="6" t="s">
        <v>97</v>
      </c>
      <c r="D5" s="6" t="s">
        <v>98</v>
      </c>
      <c r="E5" s="6">
        <v>8</v>
      </c>
      <c r="F5" s="6" t="s">
        <v>99</v>
      </c>
      <c r="G5" s="6" t="s">
        <v>100</v>
      </c>
      <c r="H5" s="6" t="s">
        <v>101</v>
      </c>
      <c r="I5" s="6" t="s">
        <v>69</v>
      </c>
      <c r="J5" s="6" t="s">
        <v>102</v>
      </c>
    </row>
    <row r="6" spans="1:10" ht="51">
      <c r="A6" s="6" t="s">
        <v>103</v>
      </c>
      <c r="B6" s="6" t="s">
        <v>104</v>
      </c>
      <c r="C6" s="6" t="s">
        <v>105</v>
      </c>
      <c r="D6" s="6" t="s">
        <v>98</v>
      </c>
      <c r="E6" s="6">
        <v>13</v>
      </c>
      <c r="F6" s="6" t="s">
        <v>99</v>
      </c>
      <c r="G6" s="6" t="s">
        <v>106</v>
      </c>
      <c r="H6" s="6" t="s">
        <v>69</v>
      </c>
      <c r="I6" s="6" t="s">
        <v>107</v>
      </c>
      <c r="J6" s="6" t="s">
        <v>269</v>
      </c>
    </row>
    <row r="7" spans="1:10" ht="85">
      <c r="A7" s="6" t="s">
        <v>108</v>
      </c>
      <c r="B7" s="6" t="s">
        <v>109</v>
      </c>
      <c r="C7" s="6" t="s">
        <v>110</v>
      </c>
      <c r="D7" s="6" t="s">
        <v>98</v>
      </c>
      <c r="E7" s="6">
        <v>13</v>
      </c>
      <c r="F7" s="6" t="s">
        <v>99</v>
      </c>
      <c r="G7" s="6" t="s">
        <v>111</v>
      </c>
      <c r="H7" s="6" t="s">
        <v>69</v>
      </c>
      <c r="I7" s="6" t="s">
        <v>112</v>
      </c>
      <c r="J7" s="6" t="s">
        <v>269</v>
      </c>
    </row>
    <row r="8" spans="1:10" ht="51">
      <c r="A8" s="6" t="s">
        <v>113</v>
      </c>
      <c r="B8" s="6" t="s">
        <v>114</v>
      </c>
      <c r="C8" s="6" t="s">
        <v>115</v>
      </c>
      <c r="D8" s="6" t="s">
        <v>98</v>
      </c>
      <c r="E8" s="6">
        <v>8</v>
      </c>
      <c r="F8" s="6" t="s">
        <v>99</v>
      </c>
      <c r="G8" s="6" t="s">
        <v>116</v>
      </c>
      <c r="H8" s="6" t="s">
        <v>69</v>
      </c>
      <c r="I8" s="6" t="s">
        <v>117</v>
      </c>
      <c r="J8" s="6" t="s">
        <v>269</v>
      </c>
    </row>
    <row r="9" spans="1:10" ht="68">
      <c r="A9" s="6" t="s">
        <v>118</v>
      </c>
      <c r="B9" s="6" t="s">
        <v>119</v>
      </c>
      <c r="C9" s="6" t="s">
        <v>120</v>
      </c>
      <c r="D9" s="6" t="s">
        <v>98</v>
      </c>
      <c r="E9" s="6">
        <v>8</v>
      </c>
      <c r="F9" s="6" t="s">
        <v>99</v>
      </c>
      <c r="G9" s="6" t="s">
        <v>121</v>
      </c>
      <c r="H9" s="6" t="s">
        <v>122</v>
      </c>
      <c r="I9" s="6" t="s">
        <v>123</v>
      </c>
      <c r="J9" s="6" t="s">
        <v>269</v>
      </c>
    </row>
    <row r="10" spans="1:10" ht="68">
      <c r="A10" s="6" t="s">
        <v>124</v>
      </c>
      <c r="B10" s="6" t="s">
        <v>125</v>
      </c>
      <c r="C10" s="6" t="s">
        <v>126</v>
      </c>
      <c r="D10" s="6" t="s">
        <v>127</v>
      </c>
      <c r="E10" s="6">
        <v>5</v>
      </c>
      <c r="F10" s="6" t="s">
        <v>99</v>
      </c>
      <c r="G10" s="6" t="s">
        <v>128</v>
      </c>
      <c r="H10" s="6" t="s">
        <v>129</v>
      </c>
      <c r="I10" s="6" t="s">
        <v>130</v>
      </c>
      <c r="J10" s="6" t="s">
        <v>269</v>
      </c>
    </row>
    <row r="11" spans="1:10" ht="68">
      <c r="A11" s="6" t="s">
        <v>131</v>
      </c>
      <c r="B11" s="6" t="s">
        <v>132</v>
      </c>
      <c r="C11" s="6" t="s">
        <v>133</v>
      </c>
      <c r="D11" s="6" t="s">
        <v>98</v>
      </c>
      <c r="E11" s="6">
        <v>5</v>
      </c>
      <c r="F11" s="6" t="s">
        <v>99</v>
      </c>
      <c r="G11" s="6" t="s">
        <v>134</v>
      </c>
      <c r="H11" s="6" t="s">
        <v>69</v>
      </c>
      <c r="I11" s="6" t="s">
        <v>135</v>
      </c>
      <c r="J11" s="6" t="s">
        <v>269</v>
      </c>
    </row>
    <row r="12" spans="1:10" ht="51">
      <c r="A12" s="6" t="s">
        <v>136</v>
      </c>
      <c r="B12" s="6" t="s">
        <v>137</v>
      </c>
      <c r="C12" s="6" t="s">
        <v>138</v>
      </c>
      <c r="D12" s="6" t="s">
        <v>127</v>
      </c>
      <c r="E12" s="6">
        <v>5</v>
      </c>
      <c r="F12" s="6" t="s">
        <v>99</v>
      </c>
      <c r="G12" s="6" t="s">
        <v>139</v>
      </c>
      <c r="H12" s="6" t="s">
        <v>69</v>
      </c>
      <c r="I12" s="6" t="s">
        <v>140</v>
      </c>
      <c r="J12" s="6" t="s">
        <v>269</v>
      </c>
    </row>
    <row r="13" spans="1:10" ht="17">
      <c r="A13" s="6" t="s">
        <v>141</v>
      </c>
      <c r="B13" s="6" t="s">
        <v>142</v>
      </c>
      <c r="C13" s="6" t="s">
        <v>143</v>
      </c>
      <c r="D13" s="6" t="s">
        <v>144</v>
      </c>
      <c r="E13" s="6">
        <v>5</v>
      </c>
      <c r="F13" s="6" t="s">
        <v>145</v>
      </c>
      <c r="G13" s="6" t="s">
        <v>146</v>
      </c>
      <c r="H13" s="6" t="s">
        <v>147</v>
      </c>
      <c r="I13" s="6" t="s">
        <v>148</v>
      </c>
      <c r="J13" s="6" t="s">
        <v>149</v>
      </c>
    </row>
    <row r="14" spans="1:10" ht="17">
      <c r="A14" s="6" t="s">
        <v>150</v>
      </c>
      <c r="B14" s="6" t="s">
        <v>151</v>
      </c>
      <c r="C14" s="6" t="s">
        <v>152</v>
      </c>
      <c r="D14" s="6" t="s">
        <v>127</v>
      </c>
      <c r="E14" s="6">
        <v>13</v>
      </c>
      <c r="F14" s="6" t="s">
        <v>145</v>
      </c>
      <c r="G14" s="6" t="s">
        <v>146</v>
      </c>
      <c r="H14" s="6" t="s">
        <v>153</v>
      </c>
      <c r="I14" s="6" t="s">
        <v>69</v>
      </c>
      <c r="J14" s="6" t="s">
        <v>154</v>
      </c>
    </row>
    <row r="15" spans="1:10" ht="17">
      <c r="A15" s="6" t="s">
        <v>155</v>
      </c>
      <c r="B15" s="6" t="s">
        <v>156</v>
      </c>
      <c r="C15" s="6" t="s">
        <v>157</v>
      </c>
      <c r="D15" s="6" t="s">
        <v>144</v>
      </c>
      <c r="E15" s="6">
        <v>13</v>
      </c>
      <c r="F15" s="6" t="s">
        <v>145</v>
      </c>
      <c r="G15" s="6" t="s">
        <v>146</v>
      </c>
      <c r="H15" s="6" t="s">
        <v>158</v>
      </c>
      <c r="I15" s="6" t="s">
        <v>69</v>
      </c>
      <c r="J15" s="6" t="s">
        <v>159</v>
      </c>
    </row>
    <row r="16" spans="1:10" ht="17">
      <c r="A16" s="6" t="s">
        <v>160</v>
      </c>
      <c r="B16" s="6" t="s">
        <v>161</v>
      </c>
      <c r="C16" s="6" t="s">
        <v>162</v>
      </c>
      <c r="D16" s="6" t="s">
        <v>144</v>
      </c>
      <c r="E16" s="6">
        <v>8</v>
      </c>
      <c r="F16" s="6" t="s">
        <v>145</v>
      </c>
      <c r="G16" s="6" t="s">
        <v>146</v>
      </c>
      <c r="H16" s="6" t="s">
        <v>163</v>
      </c>
      <c r="I16" s="6" t="s">
        <v>164</v>
      </c>
      <c r="J16" s="6" t="s">
        <v>165</v>
      </c>
    </row>
  </sheetData>
  <mergeCells count="2">
    <mergeCell ref="A1:J2"/>
    <mergeCell ref="A3:J3"/>
  </mergeCells>
  <conditionalFormatting sqref="D5:D16">
    <cfRule type="containsText" dxfId="5" priority="1" operator="containsText" text="Must"/>
    <cfRule type="containsText" dxfId="4" priority="2" operator="containsText" text="Should"/>
  </conditionalFormatting>
  <conditionalFormatting sqref="G5:G16">
    <cfRule type="containsText" dxfId="3" priority="3" operator="containsText" text="Done"/>
  </conditionalFormatting>
  <dataValidations count="2">
    <dataValidation type="list" sqref="D5:D16" xr:uid="{00000000-0002-0000-0200-000000000000}">
      <formula1>"Must,Should,Could,Won't"</formula1>
    </dataValidation>
    <dataValidation type="list" sqref="G5:G16" xr:uid="{00000000-0002-0000-0200-000001000000}">
      <formula1>"Planned,In Progress,Done,Blocked"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showGridLines="0" workbookViewId="0">
      <selection sqref="A1:L2"/>
    </sheetView>
  </sheetViews>
  <sheetFormatPr baseColWidth="10" defaultColWidth="8.83203125" defaultRowHeight="15"/>
  <cols>
    <col min="1" max="2" width="12" customWidth="1"/>
    <col min="3" max="3" width="38" customWidth="1"/>
    <col min="4" max="7" width="14" customWidth="1"/>
    <col min="8" max="8" width="45" customWidth="1"/>
    <col min="9" max="9" width="18" customWidth="1"/>
    <col min="10" max="10" width="28" customWidth="1"/>
    <col min="11" max="12" width="15" customWidth="1"/>
  </cols>
  <sheetData>
    <row r="1" spans="1:12" ht="34" customHeight="1">
      <c r="A1" s="19" t="s">
        <v>166</v>
      </c>
      <c r="B1" s="19" t="s">
        <v>166</v>
      </c>
      <c r="C1" s="19" t="s">
        <v>166</v>
      </c>
      <c r="D1" s="19" t="s">
        <v>166</v>
      </c>
      <c r="E1" s="19" t="s">
        <v>166</v>
      </c>
      <c r="F1" s="19" t="s">
        <v>166</v>
      </c>
      <c r="G1" s="19" t="s">
        <v>166</v>
      </c>
      <c r="H1" s="19" t="s">
        <v>166</v>
      </c>
      <c r="I1" s="19" t="s">
        <v>166</v>
      </c>
      <c r="J1" s="19" t="s">
        <v>166</v>
      </c>
      <c r="K1" s="19" t="s">
        <v>166</v>
      </c>
      <c r="L1" s="19" t="s">
        <v>166</v>
      </c>
    </row>
    <row r="2" spans="1:12" ht="34" customHeight="1">
      <c r="A2" s="19" t="s">
        <v>166</v>
      </c>
      <c r="B2" s="19" t="s">
        <v>166</v>
      </c>
      <c r="C2" s="19" t="s">
        <v>166</v>
      </c>
      <c r="D2" s="19" t="s">
        <v>166</v>
      </c>
      <c r="E2" s="19" t="s">
        <v>166</v>
      </c>
      <c r="F2" s="19" t="s">
        <v>166</v>
      </c>
      <c r="G2" s="19" t="s">
        <v>166</v>
      </c>
      <c r="H2" s="19" t="s">
        <v>166</v>
      </c>
      <c r="I2" s="19" t="s">
        <v>166</v>
      </c>
      <c r="J2" s="19" t="s">
        <v>166</v>
      </c>
      <c r="K2" s="19" t="s">
        <v>166</v>
      </c>
      <c r="L2" s="19" t="s">
        <v>166</v>
      </c>
    </row>
    <row r="3" spans="1:12" ht="16">
      <c r="A3" s="20" t="s">
        <v>167</v>
      </c>
      <c r="B3" s="20" t="s">
        <v>167</v>
      </c>
      <c r="C3" s="20" t="s">
        <v>167</v>
      </c>
      <c r="D3" s="20" t="s">
        <v>167</v>
      </c>
      <c r="E3" s="20" t="s">
        <v>167</v>
      </c>
      <c r="F3" s="20" t="s">
        <v>167</v>
      </c>
      <c r="G3" s="20" t="s">
        <v>167</v>
      </c>
      <c r="H3" s="20" t="s">
        <v>167</v>
      </c>
      <c r="I3" s="20" t="s">
        <v>167</v>
      </c>
      <c r="J3" s="20" t="s">
        <v>167</v>
      </c>
      <c r="K3" s="20" t="s">
        <v>167</v>
      </c>
      <c r="L3" s="20" t="s">
        <v>167</v>
      </c>
    </row>
    <row r="4" spans="1:12" ht="34">
      <c r="A4" s="21" t="s">
        <v>87</v>
      </c>
      <c r="B4" s="22" t="s">
        <v>168</v>
      </c>
      <c r="C4" s="22" t="s">
        <v>169</v>
      </c>
      <c r="D4" s="22" t="s">
        <v>170</v>
      </c>
      <c r="E4" s="22" t="s">
        <v>171</v>
      </c>
      <c r="F4" s="22" t="s">
        <v>172</v>
      </c>
      <c r="G4" s="22" t="s">
        <v>173</v>
      </c>
      <c r="H4" s="22" t="s">
        <v>174</v>
      </c>
      <c r="I4" s="22" t="s">
        <v>30</v>
      </c>
      <c r="J4" s="22" t="s">
        <v>175</v>
      </c>
      <c r="K4" s="22" t="s">
        <v>42</v>
      </c>
      <c r="L4" s="23" t="s">
        <v>176</v>
      </c>
    </row>
    <row r="5" spans="1:12" ht="34">
      <c r="A5" s="6" t="s">
        <v>177</v>
      </c>
      <c r="B5" s="6" t="s">
        <v>178</v>
      </c>
      <c r="C5" s="6" t="s">
        <v>179</v>
      </c>
      <c r="D5" s="6">
        <v>4</v>
      </c>
      <c r="E5" s="6">
        <v>5</v>
      </c>
      <c r="F5" s="6">
        <f t="shared" ref="F5:F12" si="0">D5*E5</f>
        <v>20</v>
      </c>
      <c r="G5" s="6" t="str">
        <f t="shared" ref="G5:G12" si="1">IF(F5&gt;=15,"High",IF(F5&gt;=8,"Medium","Low"))</f>
        <v>High</v>
      </c>
      <c r="H5" s="6" t="s">
        <v>180</v>
      </c>
      <c r="I5" s="6" t="s">
        <v>181</v>
      </c>
      <c r="J5" s="6" t="s">
        <v>182</v>
      </c>
      <c r="K5" s="6" t="s">
        <v>183</v>
      </c>
      <c r="L5" s="25">
        <v>44941</v>
      </c>
    </row>
    <row r="6" spans="1:12" ht="34">
      <c r="A6" s="6" t="s">
        <v>184</v>
      </c>
      <c r="B6" s="6" t="s">
        <v>178</v>
      </c>
      <c r="C6" s="6" t="s">
        <v>185</v>
      </c>
      <c r="D6" s="6">
        <v>4</v>
      </c>
      <c r="E6" s="6">
        <v>4</v>
      </c>
      <c r="F6" s="6">
        <f t="shared" si="0"/>
        <v>16</v>
      </c>
      <c r="G6" s="6" t="str">
        <f t="shared" si="1"/>
        <v>High</v>
      </c>
      <c r="H6" s="6" t="s">
        <v>186</v>
      </c>
      <c r="I6" s="6" t="s">
        <v>50</v>
      </c>
      <c r="J6" s="6" t="s">
        <v>187</v>
      </c>
      <c r="K6" s="6" t="s">
        <v>188</v>
      </c>
      <c r="L6" s="25">
        <v>44958</v>
      </c>
    </row>
    <row r="7" spans="1:12" ht="34">
      <c r="A7" s="6" t="s">
        <v>189</v>
      </c>
      <c r="B7" s="6" t="s">
        <v>178</v>
      </c>
      <c r="C7" s="6" t="s">
        <v>190</v>
      </c>
      <c r="D7" s="6">
        <v>3</v>
      </c>
      <c r="E7" s="6">
        <v>5</v>
      </c>
      <c r="F7" s="6">
        <f t="shared" si="0"/>
        <v>15</v>
      </c>
      <c r="G7" s="6" t="str">
        <f t="shared" si="1"/>
        <v>High</v>
      </c>
      <c r="H7" s="6" t="s">
        <v>191</v>
      </c>
      <c r="I7" s="6" t="s">
        <v>192</v>
      </c>
      <c r="J7" s="6" t="s">
        <v>193</v>
      </c>
      <c r="K7" s="6" t="s">
        <v>183</v>
      </c>
      <c r="L7" s="25">
        <v>44972</v>
      </c>
    </row>
    <row r="8" spans="1:12" ht="34">
      <c r="A8" s="6" t="s">
        <v>194</v>
      </c>
      <c r="B8" s="6" t="s">
        <v>178</v>
      </c>
      <c r="C8" s="6" t="s">
        <v>195</v>
      </c>
      <c r="D8" s="6">
        <v>4</v>
      </c>
      <c r="E8" s="6">
        <v>4</v>
      </c>
      <c r="F8" s="6">
        <f t="shared" si="0"/>
        <v>16</v>
      </c>
      <c r="G8" s="6" t="str">
        <f t="shared" si="1"/>
        <v>High</v>
      </c>
      <c r="H8" s="6" t="s">
        <v>196</v>
      </c>
      <c r="I8" s="6" t="s">
        <v>197</v>
      </c>
      <c r="J8" s="6" t="s">
        <v>198</v>
      </c>
      <c r="K8" s="6" t="s">
        <v>183</v>
      </c>
      <c r="L8" s="25">
        <v>45031</v>
      </c>
    </row>
    <row r="9" spans="1:12" ht="17">
      <c r="A9" s="6" t="s">
        <v>199</v>
      </c>
      <c r="B9" s="6" t="s">
        <v>178</v>
      </c>
      <c r="C9" s="6" t="s">
        <v>200</v>
      </c>
      <c r="D9" s="6">
        <v>4</v>
      </c>
      <c r="E9" s="6">
        <v>3</v>
      </c>
      <c r="F9" s="6">
        <f t="shared" si="0"/>
        <v>12</v>
      </c>
      <c r="G9" s="6" t="str">
        <f t="shared" si="1"/>
        <v>Medium</v>
      </c>
      <c r="H9" s="6" t="s">
        <v>201</v>
      </c>
      <c r="I9" s="6" t="s">
        <v>202</v>
      </c>
      <c r="J9" s="6" t="s">
        <v>203</v>
      </c>
      <c r="K9" s="6" t="s">
        <v>188</v>
      </c>
      <c r="L9" s="25">
        <v>44895</v>
      </c>
    </row>
    <row r="10" spans="1:12" ht="34">
      <c r="A10" s="6" t="s">
        <v>204</v>
      </c>
      <c r="B10" s="6" t="s">
        <v>178</v>
      </c>
      <c r="C10" s="6" t="s">
        <v>205</v>
      </c>
      <c r="D10" s="6">
        <v>2</v>
      </c>
      <c r="E10" s="6">
        <v>5</v>
      </c>
      <c r="F10" s="6">
        <f t="shared" si="0"/>
        <v>10</v>
      </c>
      <c r="G10" s="6" t="str">
        <f t="shared" si="1"/>
        <v>Medium</v>
      </c>
      <c r="H10" s="6" t="s">
        <v>206</v>
      </c>
      <c r="I10" s="6" t="s">
        <v>207</v>
      </c>
      <c r="J10" s="6" t="s">
        <v>208</v>
      </c>
      <c r="K10" s="6" t="s">
        <v>183</v>
      </c>
      <c r="L10" s="25">
        <v>44995</v>
      </c>
    </row>
    <row r="11" spans="1:12" ht="34">
      <c r="A11" s="6" t="s">
        <v>209</v>
      </c>
      <c r="B11" s="6" t="s">
        <v>210</v>
      </c>
      <c r="C11" s="6" t="s">
        <v>211</v>
      </c>
      <c r="D11" s="6">
        <v>3</v>
      </c>
      <c r="E11" s="6">
        <v>3</v>
      </c>
      <c r="F11" s="6">
        <f t="shared" si="0"/>
        <v>9</v>
      </c>
      <c r="G11" s="6" t="str">
        <f t="shared" si="1"/>
        <v>Medium</v>
      </c>
      <c r="H11" s="6" t="s">
        <v>212</v>
      </c>
      <c r="I11" s="6" t="s">
        <v>202</v>
      </c>
      <c r="J11" s="6" t="s">
        <v>213</v>
      </c>
      <c r="K11" s="6" t="s">
        <v>214</v>
      </c>
      <c r="L11" s="25">
        <v>44986</v>
      </c>
    </row>
    <row r="12" spans="1:12" ht="34">
      <c r="A12" s="6" t="s">
        <v>215</v>
      </c>
      <c r="B12" s="6" t="s">
        <v>94</v>
      </c>
      <c r="C12" s="6" t="s">
        <v>216</v>
      </c>
      <c r="D12" s="6">
        <v>3</v>
      </c>
      <c r="E12" s="6">
        <v>4</v>
      </c>
      <c r="F12" s="6">
        <f t="shared" si="0"/>
        <v>12</v>
      </c>
      <c r="G12" s="6" t="str">
        <f t="shared" si="1"/>
        <v>Medium</v>
      </c>
      <c r="H12" s="6" t="s">
        <v>217</v>
      </c>
      <c r="I12" s="6" t="s">
        <v>181</v>
      </c>
      <c r="J12" s="6" t="s">
        <v>218</v>
      </c>
      <c r="K12" s="6" t="s">
        <v>219</v>
      </c>
      <c r="L12" s="25">
        <v>44910</v>
      </c>
    </row>
  </sheetData>
  <mergeCells count="2">
    <mergeCell ref="A1:L2"/>
    <mergeCell ref="A3:L3"/>
  </mergeCells>
  <conditionalFormatting sqref="G5:G12">
    <cfRule type="containsText" dxfId="2" priority="1" operator="containsText" text="High"/>
    <cfRule type="containsText" dxfId="1" priority="2" operator="containsText" text="Medium"/>
    <cfRule type="containsText" dxfId="0" priority="3" operator="containsText" text="Low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showGridLines="0" workbookViewId="0">
      <selection activeCell="C25" sqref="C25"/>
    </sheetView>
  </sheetViews>
  <sheetFormatPr baseColWidth="10" defaultColWidth="8.83203125" defaultRowHeight="16"/>
  <cols>
    <col min="1" max="1" width="34" style="3" customWidth="1"/>
    <col min="2" max="7" width="22" style="3" customWidth="1"/>
    <col min="8" max="16384" width="8.83203125" style="3"/>
  </cols>
  <sheetData>
    <row r="1" spans="1:7" ht="34" customHeight="1">
      <c r="A1" s="19" t="s">
        <v>220</v>
      </c>
      <c r="B1" s="19" t="s">
        <v>220</v>
      </c>
      <c r="C1" s="19" t="s">
        <v>220</v>
      </c>
      <c r="D1" s="19" t="s">
        <v>220</v>
      </c>
      <c r="E1" s="19" t="s">
        <v>220</v>
      </c>
      <c r="F1" s="19" t="s">
        <v>220</v>
      </c>
      <c r="G1" s="19" t="s">
        <v>220</v>
      </c>
    </row>
    <row r="2" spans="1:7" ht="34" customHeight="1">
      <c r="A2" s="19" t="s">
        <v>220</v>
      </c>
      <c r="B2" s="19" t="s">
        <v>220</v>
      </c>
      <c r="C2" s="19" t="s">
        <v>220</v>
      </c>
      <c r="D2" s="19" t="s">
        <v>220</v>
      </c>
      <c r="E2" s="19" t="s">
        <v>220</v>
      </c>
      <c r="F2" s="19" t="s">
        <v>220</v>
      </c>
      <c r="G2" s="19" t="s">
        <v>220</v>
      </c>
    </row>
    <row r="4" spans="1:7" ht="17">
      <c r="A4" s="21" t="s">
        <v>27</v>
      </c>
      <c r="B4" s="22" t="s">
        <v>221</v>
      </c>
      <c r="C4" s="22" t="s">
        <v>222</v>
      </c>
      <c r="D4" s="22" t="s">
        <v>223</v>
      </c>
      <c r="E4" s="22" t="s">
        <v>224</v>
      </c>
      <c r="F4" s="22" t="s">
        <v>225</v>
      </c>
      <c r="G4" s="23" t="s">
        <v>197</v>
      </c>
    </row>
    <row r="5" spans="1:7" ht="17">
      <c r="A5" s="6" t="s">
        <v>226</v>
      </c>
      <c r="B5" s="6" t="s">
        <v>227</v>
      </c>
      <c r="C5" s="6" t="s">
        <v>228</v>
      </c>
      <c r="D5" s="6" t="s">
        <v>229</v>
      </c>
      <c r="E5" s="6" t="s">
        <v>229</v>
      </c>
      <c r="F5" s="6" t="s">
        <v>229</v>
      </c>
      <c r="G5" s="6" t="s">
        <v>230</v>
      </c>
    </row>
    <row r="6" spans="1:7" ht="17">
      <c r="A6" s="6" t="s">
        <v>231</v>
      </c>
      <c r="B6" s="6" t="s">
        <v>227</v>
      </c>
      <c r="C6" s="6" t="s">
        <v>230</v>
      </c>
      <c r="D6" s="6" t="s">
        <v>229</v>
      </c>
      <c r="E6" s="6" t="s">
        <v>232</v>
      </c>
      <c r="F6" s="6" t="s">
        <v>229</v>
      </c>
      <c r="G6" s="6" t="s">
        <v>229</v>
      </c>
    </row>
    <row r="7" spans="1:7" ht="17">
      <c r="A7" s="6" t="s">
        <v>56</v>
      </c>
      <c r="B7" s="6" t="s">
        <v>227</v>
      </c>
      <c r="C7" s="6" t="s">
        <v>230</v>
      </c>
      <c r="D7" s="6" t="s">
        <v>229</v>
      </c>
      <c r="E7" s="6" t="s">
        <v>232</v>
      </c>
      <c r="F7" s="6" t="s">
        <v>229</v>
      </c>
      <c r="G7" s="6" t="s">
        <v>229</v>
      </c>
    </row>
    <row r="8" spans="1:7" ht="17">
      <c r="A8" s="6" t="s">
        <v>233</v>
      </c>
      <c r="B8" s="6" t="s">
        <v>227</v>
      </c>
      <c r="C8" s="6" t="s">
        <v>229</v>
      </c>
      <c r="D8" s="6" t="s">
        <v>229</v>
      </c>
      <c r="E8" s="6" t="s">
        <v>229</v>
      </c>
      <c r="F8" s="6" t="s">
        <v>229</v>
      </c>
      <c r="G8" s="6" t="s">
        <v>229</v>
      </c>
    </row>
    <row r="9" spans="1:7" ht="17">
      <c r="A9" s="6" t="s">
        <v>234</v>
      </c>
      <c r="B9" s="6" t="s">
        <v>229</v>
      </c>
      <c r="C9" s="6" t="s">
        <v>230</v>
      </c>
      <c r="D9" s="6" t="s">
        <v>227</v>
      </c>
      <c r="E9" s="6" t="s">
        <v>229</v>
      </c>
      <c r="F9" s="6" t="s">
        <v>229</v>
      </c>
      <c r="G9" s="6" t="s">
        <v>230</v>
      </c>
    </row>
    <row r="10" spans="1:7" ht="17">
      <c r="A10" s="6" t="s">
        <v>235</v>
      </c>
      <c r="B10" s="6" t="s">
        <v>228</v>
      </c>
      <c r="C10" s="6" t="s">
        <v>230</v>
      </c>
      <c r="D10" s="6" t="s">
        <v>229</v>
      </c>
      <c r="E10" s="6" t="s">
        <v>232</v>
      </c>
      <c r="F10" s="6" t="s">
        <v>229</v>
      </c>
      <c r="G10" s="6" t="s">
        <v>229</v>
      </c>
    </row>
    <row r="11" spans="1:7" ht="17">
      <c r="A11" s="6" t="s">
        <v>236</v>
      </c>
      <c r="B11" s="6" t="s">
        <v>228</v>
      </c>
      <c r="C11" s="6" t="s">
        <v>230</v>
      </c>
      <c r="D11" s="6" t="s">
        <v>232</v>
      </c>
      <c r="E11" s="6" t="s">
        <v>229</v>
      </c>
      <c r="F11" s="6" t="s">
        <v>229</v>
      </c>
      <c r="G11" s="6" t="s">
        <v>230</v>
      </c>
    </row>
    <row r="12" spans="1:7" ht="17">
      <c r="A12" s="6" t="s">
        <v>237</v>
      </c>
      <c r="B12" s="6" t="s">
        <v>227</v>
      </c>
      <c r="C12" s="6" t="s">
        <v>230</v>
      </c>
      <c r="D12" s="6" t="s">
        <v>232</v>
      </c>
      <c r="E12" s="6" t="s">
        <v>229</v>
      </c>
      <c r="F12" s="6" t="s">
        <v>229</v>
      </c>
      <c r="G12" s="6" t="s">
        <v>232</v>
      </c>
    </row>
    <row r="13" spans="1:7" ht="17">
      <c r="A13" s="6" t="s">
        <v>238</v>
      </c>
      <c r="B13" s="6" t="s">
        <v>228</v>
      </c>
      <c r="C13" s="6" t="s">
        <v>230</v>
      </c>
      <c r="D13" s="6" t="s">
        <v>229</v>
      </c>
      <c r="E13" s="6" t="s">
        <v>230</v>
      </c>
      <c r="F13" s="6" t="s">
        <v>229</v>
      </c>
      <c r="G13" s="6" t="s">
        <v>232</v>
      </c>
    </row>
    <row r="14" spans="1:7" ht="17">
      <c r="A14" s="6" t="s">
        <v>239</v>
      </c>
      <c r="B14" s="6" t="s">
        <v>227</v>
      </c>
      <c r="C14" s="6" t="s">
        <v>230</v>
      </c>
      <c r="D14" s="6" t="s">
        <v>229</v>
      </c>
      <c r="E14" s="6" t="s">
        <v>229</v>
      </c>
      <c r="F14" s="6" t="s">
        <v>229</v>
      </c>
      <c r="G14" s="6" t="s">
        <v>232</v>
      </c>
    </row>
  </sheetData>
  <mergeCells count="1">
    <mergeCell ref="A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"/>
  <sheetViews>
    <sheetView showGridLines="0" workbookViewId="0">
      <selection activeCell="E31" sqref="E31"/>
    </sheetView>
  </sheetViews>
  <sheetFormatPr baseColWidth="10" defaultColWidth="8.83203125" defaultRowHeight="16"/>
  <cols>
    <col min="1" max="1" width="32" style="3" customWidth="1"/>
    <col min="2" max="5" width="16" style="3" customWidth="1"/>
    <col min="6" max="12" width="14" style="3" customWidth="1"/>
    <col min="13" max="16384" width="8.83203125" style="3"/>
  </cols>
  <sheetData>
    <row r="1" spans="1:12" ht="34" customHeight="1">
      <c r="A1" s="19" t="s">
        <v>240</v>
      </c>
      <c r="B1" s="19" t="s">
        <v>240</v>
      </c>
      <c r="C1" s="19" t="s">
        <v>240</v>
      </c>
      <c r="D1" s="19" t="s">
        <v>240</v>
      </c>
      <c r="E1" s="19" t="s">
        <v>240</v>
      </c>
      <c r="F1" s="19" t="s">
        <v>240</v>
      </c>
      <c r="G1" s="19" t="s">
        <v>240</v>
      </c>
      <c r="H1" s="19" t="s">
        <v>240</v>
      </c>
      <c r="I1" s="19" t="s">
        <v>240</v>
      </c>
      <c r="J1" s="19" t="s">
        <v>240</v>
      </c>
      <c r="K1" s="19" t="s">
        <v>240</v>
      </c>
      <c r="L1" s="19" t="s">
        <v>240</v>
      </c>
    </row>
    <row r="2" spans="1:12" ht="34" customHeight="1">
      <c r="A2" s="19" t="s">
        <v>240</v>
      </c>
      <c r="B2" s="19" t="s">
        <v>240</v>
      </c>
      <c r="C2" s="19" t="s">
        <v>240</v>
      </c>
      <c r="D2" s="19" t="s">
        <v>240</v>
      </c>
      <c r="E2" s="19" t="s">
        <v>240</v>
      </c>
      <c r="F2" s="19" t="s">
        <v>240</v>
      </c>
      <c r="G2" s="19" t="s">
        <v>240</v>
      </c>
      <c r="H2" s="19" t="s">
        <v>240</v>
      </c>
      <c r="I2" s="19" t="s">
        <v>240</v>
      </c>
      <c r="J2" s="19" t="s">
        <v>240</v>
      </c>
      <c r="K2" s="19" t="s">
        <v>240</v>
      </c>
      <c r="L2" s="19" t="s">
        <v>240</v>
      </c>
    </row>
    <row r="3" spans="1:12">
      <c r="A3" s="4" t="s">
        <v>270</v>
      </c>
      <c r="B3" s="4" t="s">
        <v>241</v>
      </c>
      <c r="C3" s="4" t="s">
        <v>241</v>
      </c>
      <c r="D3" s="4" t="s">
        <v>241</v>
      </c>
      <c r="E3" s="4" t="s">
        <v>241</v>
      </c>
      <c r="F3" s="4" t="s">
        <v>241</v>
      </c>
      <c r="G3" s="4" t="s">
        <v>241</v>
      </c>
      <c r="H3" s="4" t="s">
        <v>241</v>
      </c>
      <c r="I3" s="4" t="s">
        <v>241</v>
      </c>
      <c r="J3" s="4" t="s">
        <v>241</v>
      </c>
      <c r="K3" s="4" t="s">
        <v>241</v>
      </c>
      <c r="L3" s="4" t="s">
        <v>241</v>
      </c>
    </row>
    <row r="5" spans="1:12">
      <c r="A5" s="7" t="s">
        <v>242</v>
      </c>
      <c r="B5" s="8" t="s">
        <v>242</v>
      </c>
      <c r="C5" s="9" t="s">
        <v>242</v>
      </c>
      <c r="D5" s="7" t="s">
        <v>243</v>
      </c>
      <c r="E5" s="8" t="s">
        <v>243</v>
      </c>
      <c r="F5" s="9" t="s">
        <v>243</v>
      </c>
      <c r="G5" s="7" t="s">
        <v>244</v>
      </c>
      <c r="H5" s="8" t="s">
        <v>244</v>
      </c>
      <c r="I5" s="9" t="s">
        <v>244</v>
      </c>
      <c r="J5" s="7" t="s">
        <v>245</v>
      </c>
      <c r="K5" s="8" t="s">
        <v>245</v>
      </c>
      <c r="L5" s="9" t="s">
        <v>245</v>
      </c>
    </row>
    <row r="6" spans="1:12">
      <c r="A6" s="26">
        <f>'Adoption Data'!H7</f>
        <v>0.75</v>
      </c>
      <c r="B6" s="27"/>
      <c r="C6" s="27"/>
      <c r="D6" s="27">
        <f>'Adoption Data'!I7</f>
        <v>0.6</v>
      </c>
      <c r="E6" s="27"/>
      <c r="F6" s="27"/>
      <c r="G6" s="27">
        <f>'Adoption Data'!J7</f>
        <v>0.68</v>
      </c>
      <c r="H6" s="27"/>
      <c r="I6" s="27"/>
      <c r="J6" s="27">
        <f>1-'Adoption Data'!K7/45</f>
        <v>0.82222222222222219</v>
      </c>
      <c r="K6" s="27"/>
      <c r="L6" s="28"/>
    </row>
    <row r="7" spans="1:12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1"/>
    </row>
    <row r="8" spans="1:12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10" spans="1:12" ht="17">
      <c r="A10" s="21" t="s">
        <v>246</v>
      </c>
      <c r="B10" s="22" t="s">
        <v>247</v>
      </c>
      <c r="C10" s="22" t="s">
        <v>248</v>
      </c>
      <c r="D10" s="23" t="s">
        <v>244</v>
      </c>
    </row>
    <row r="11" spans="1:12">
      <c r="A11" s="3" t="str">
        <f>'Adoption Data'!A5</f>
        <v>May-23</v>
      </c>
      <c r="B11" s="35">
        <f>'Adoption Data'!D5</f>
        <v>100</v>
      </c>
      <c r="C11" s="35">
        <f>'Adoption Data'!E5</f>
        <v>80</v>
      </c>
      <c r="D11" s="36">
        <f>'Adoption Data'!J5</f>
        <v>0.4</v>
      </c>
    </row>
    <row r="12" spans="1:12">
      <c r="A12" s="3" t="str">
        <f>'Adoption Data'!A6</f>
        <v>Jun-23</v>
      </c>
      <c r="B12" s="35">
        <f>'Adoption Data'!D6</f>
        <v>180</v>
      </c>
      <c r="C12" s="35">
        <f>'Adoption Data'!E6</f>
        <v>145</v>
      </c>
      <c r="D12" s="36">
        <f>'Adoption Data'!J6</f>
        <v>0.6</v>
      </c>
    </row>
    <row r="13" spans="1:12">
      <c r="A13" s="3" t="str">
        <f>'Adoption Data'!A7</f>
        <v>Jul-23</v>
      </c>
      <c r="B13" s="35">
        <f>'Adoption Data'!D7</f>
        <v>225</v>
      </c>
      <c r="C13" s="35">
        <f>'Adoption Data'!E7</f>
        <v>180</v>
      </c>
      <c r="D13" s="36">
        <f>'Adoption Data'!J7</f>
        <v>0.68</v>
      </c>
    </row>
    <row r="16" spans="1:12" ht="17">
      <c r="A16" s="21" t="s">
        <v>249</v>
      </c>
      <c r="B16" s="22" t="s">
        <v>250</v>
      </c>
      <c r="C16" s="22" t="s">
        <v>251</v>
      </c>
      <c r="D16" s="23" t="s">
        <v>252</v>
      </c>
    </row>
    <row r="17" spans="1:4">
      <c r="A17" s="3" t="s">
        <v>253</v>
      </c>
      <c r="B17" s="37">
        <v>45</v>
      </c>
      <c r="C17" s="37">
        <v>8</v>
      </c>
      <c r="D17" s="36">
        <f>IF(B17=0,C17,C17/B17-1)</f>
        <v>-0.82222222222222219</v>
      </c>
    </row>
    <row r="18" spans="1:4">
      <c r="A18" s="3" t="s">
        <v>254</v>
      </c>
      <c r="B18" s="36">
        <v>0.18</v>
      </c>
      <c r="C18" s="36">
        <v>0.06</v>
      </c>
      <c r="D18" s="36">
        <f>IF(B18=0,C18,C18/B18-1)</f>
        <v>-0.66666666666666674</v>
      </c>
    </row>
    <row r="19" spans="1:4">
      <c r="A19" s="3" t="s">
        <v>255</v>
      </c>
      <c r="B19" s="35">
        <v>0</v>
      </c>
      <c r="C19" s="35">
        <v>612</v>
      </c>
      <c r="D19" s="35">
        <f>IF(B19=0,C19,C19/B19-1)</f>
        <v>612</v>
      </c>
    </row>
    <row r="20" spans="1:4">
      <c r="A20" s="3" t="s">
        <v>256</v>
      </c>
      <c r="B20" s="35">
        <v>0</v>
      </c>
      <c r="C20" s="35">
        <f>'Adoption Data'!G7*(45-'Adoption Data'!K7)/60</f>
        <v>377.4</v>
      </c>
      <c r="D20" s="35">
        <f>IF(B20=0,C20,C20/B20-1)</f>
        <v>377.4</v>
      </c>
    </row>
  </sheetData>
  <mergeCells count="10">
    <mergeCell ref="A1:L2"/>
    <mergeCell ref="A3:L3"/>
    <mergeCell ref="A5:C5"/>
    <mergeCell ref="A6:C8"/>
    <mergeCell ref="D5:F5"/>
    <mergeCell ref="D6:F8"/>
    <mergeCell ref="G5:I5"/>
    <mergeCell ref="G6:I8"/>
    <mergeCell ref="J5:L5"/>
    <mergeCell ref="J6:L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showGridLines="0" tabSelected="1" workbookViewId="0">
      <selection activeCell="F20" sqref="F20"/>
    </sheetView>
  </sheetViews>
  <sheetFormatPr baseColWidth="10" defaultColWidth="8.83203125" defaultRowHeight="15"/>
  <cols>
    <col min="1" max="1" width="14" customWidth="1"/>
    <col min="2" max="12" width="17" customWidth="1"/>
  </cols>
  <sheetData>
    <row r="1" spans="1:12" ht="34" customHeight="1">
      <c r="A1" s="19" t="s">
        <v>257</v>
      </c>
      <c r="B1" s="19" t="s">
        <v>257</v>
      </c>
      <c r="C1" s="19" t="s">
        <v>257</v>
      </c>
      <c r="D1" s="19" t="s">
        <v>257</v>
      </c>
      <c r="E1" s="19" t="s">
        <v>257</v>
      </c>
      <c r="F1" s="19" t="s">
        <v>257</v>
      </c>
      <c r="G1" s="19" t="s">
        <v>257</v>
      </c>
      <c r="H1" s="19" t="s">
        <v>257</v>
      </c>
      <c r="I1" s="19" t="s">
        <v>257</v>
      </c>
      <c r="J1" s="19" t="s">
        <v>257</v>
      </c>
      <c r="K1" s="19" t="s">
        <v>257</v>
      </c>
      <c r="L1" s="19" t="s">
        <v>257</v>
      </c>
    </row>
    <row r="2" spans="1:12" ht="34" customHeight="1">
      <c r="A2" s="19" t="s">
        <v>257</v>
      </c>
      <c r="B2" s="19" t="s">
        <v>257</v>
      </c>
      <c r="C2" s="19" t="s">
        <v>257</v>
      </c>
      <c r="D2" s="19" t="s">
        <v>257</v>
      </c>
      <c r="E2" s="19" t="s">
        <v>257</v>
      </c>
      <c r="F2" s="19" t="s">
        <v>257</v>
      </c>
      <c r="G2" s="19" t="s">
        <v>257</v>
      </c>
      <c r="H2" s="19" t="s">
        <v>257</v>
      </c>
      <c r="I2" s="19" t="s">
        <v>257</v>
      </c>
      <c r="J2" s="19" t="s">
        <v>257</v>
      </c>
      <c r="K2" s="19" t="s">
        <v>257</v>
      </c>
      <c r="L2" s="19" t="s">
        <v>257</v>
      </c>
    </row>
    <row r="3" spans="1:12" ht="16">
      <c r="A3" s="20" t="s">
        <v>258</v>
      </c>
      <c r="B3" s="20" t="s">
        <v>258</v>
      </c>
      <c r="C3" s="20" t="s">
        <v>258</v>
      </c>
      <c r="D3" s="20" t="s">
        <v>258</v>
      </c>
      <c r="E3" s="20" t="s">
        <v>258</v>
      </c>
      <c r="F3" s="20" t="s">
        <v>258</v>
      </c>
      <c r="G3" s="20" t="s">
        <v>258</v>
      </c>
      <c r="H3" s="20" t="s">
        <v>258</v>
      </c>
      <c r="I3" s="20" t="s">
        <v>258</v>
      </c>
      <c r="J3" s="20" t="s">
        <v>258</v>
      </c>
      <c r="K3" s="20" t="s">
        <v>258</v>
      </c>
      <c r="L3" s="20" t="s">
        <v>258</v>
      </c>
    </row>
    <row r="4" spans="1:12" ht="34">
      <c r="A4" s="21" t="s">
        <v>246</v>
      </c>
      <c r="B4" s="22" t="s">
        <v>259</v>
      </c>
      <c r="C4" s="22" t="s">
        <v>260</v>
      </c>
      <c r="D4" s="22" t="s">
        <v>247</v>
      </c>
      <c r="E4" s="22" t="s">
        <v>261</v>
      </c>
      <c r="F4" s="22" t="s">
        <v>262</v>
      </c>
      <c r="G4" s="22" t="s">
        <v>263</v>
      </c>
      <c r="H4" s="22" t="s">
        <v>242</v>
      </c>
      <c r="I4" s="22" t="s">
        <v>264</v>
      </c>
      <c r="J4" s="22" t="s">
        <v>244</v>
      </c>
      <c r="K4" s="22" t="s">
        <v>265</v>
      </c>
      <c r="L4" s="23" t="s">
        <v>254</v>
      </c>
    </row>
    <row r="5" spans="1:12" ht="16">
      <c r="A5" s="3" t="s">
        <v>41</v>
      </c>
      <c r="B5" s="3">
        <v>300</v>
      </c>
      <c r="C5" s="3">
        <v>180</v>
      </c>
      <c r="D5" s="3">
        <v>100</v>
      </c>
      <c r="E5" s="3">
        <v>80</v>
      </c>
      <c r="F5" s="3">
        <v>400</v>
      </c>
      <c r="G5" s="3">
        <v>160</v>
      </c>
      <c r="H5" s="36">
        <f>D5/C5</f>
        <v>0.55555555555555558</v>
      </c>
      <c r="I5" s="36">
        <f>E5/B5</f>
        <v>0.26666666666666666</v>
      </c>
      <c r="J5" s="36">
        <f>G5/F5</f>
        <v>0.4</v>
      </c>
      <c r="K5" s="3">
        <v>20</v>
      </c>
      <c r="L5" s="36">
        <v>0.12</v>
      </c>
    </row>
    <row r="6" spans="1:12" ht="16">
      <c r="A6" s="3" t="s">
        <v>266</v>
      </c>
      <c r="B6" s="3">
        <v>300</v>
      </c>
      <c r="C6" s="3">
        <v>260</v>
      </c>
      <c r="D6" s="3">
        <v>180</v>
      </c>
      <c r="E6" s="3">
        <v>145</v>
      </c>
      <c r="F6" s="3">
        <v>650</v>
      </c>
      <c r="G6" s="3">
        <v>390</v>
      </c>
      <c r="H6" s="36">
        <f>D6/C6</f>
        <v>0.69230769230769229</v>
      </c>
      <c r="I6" s="36">
        <f>E6/B6</f>
        <v>0.48333333333333334</v>
      </c>
      <c r="J6" s="36">
        <f>G6/F6</f>
        <v>0.6</v>
      </c>
      <c r="K6" s="3">
        <v>12</v>
      </c>
      <c r="L6" s="36">
        <v>0.08</v>
      </c>
    </row>
    <row r="7" spans="1:12" ht="16">
      <c r="A7" s="3" t="s">
        <v>267</v>
      </c>
      <c r="B7" s="3">
        <v>300</v>
      </c>
      <c r="C7" s="3">
        <v>300</v>
      </c>
      <c r="D7" s="3">
        <v>225</v>
      </c>
      <c r="E7" s="3">
        <v>180</v>
      </c>
      <c r="F7" s="3">
        <v>900</v>
      </c>
      <c r="G7" s="3">
        <v>612</v>
      </c>
      <c r="H7" s="36">
        <f>D7/C7</f>
        <v>0.75</v>
      </c>
      <c r="I7" s="36">
        <f>E7/B7</f>
        <v>0.6</v>
      </c>
      <c r="J7" s="36">
        <f>G7/F7</f>
        <v>0.68</v>
      </c>
      <c r="K7" s="3">
        <v>8</v>
      </c>
      <c r="L7" s="36">
        <v>0.06</v>
      </c>
    </row>
  </sheetData>
  <mergeCells count="2">
    <mergeCell ref="A1:L2"/>
    <mergeCell ref="A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 Summary</vt:lpstr>
      <vt:lpstr>Project Timeline</vt:lpstr>
      <vt:lpstr>Product Backlog</vt:lpstr>
      <vt:lpstr>RAID Log</vt:lpstr>
      <vt:lpstr>RACI</vt:lpstr>
      <vt:lpstr>Adoption Dashboard</vt:lpstr>
      <vt:lpstr>Adoption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Agnes Abiodun Iwaye</cp:lastModifiedBy>
  <dcterms:created xsi:type="dcterms:W3CDTF">2026-09-01T22:28:56Z</dcterms:created>
  <dcterms:modified xsi:type="dcterms:W3CDTF">2026-09-01T22:29:22Z</dcterms:modified>
</cp:coreProperties>
</file>